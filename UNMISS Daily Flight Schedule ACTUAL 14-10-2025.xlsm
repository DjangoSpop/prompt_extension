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nmiss-intranet\UNMISSActualDFS\DFS 2025\OCTOBER\"/>
    </mc:Choice>
  </mc:AlternateContent>
  <xr:revisionPtr revIDLastSave="0" documentId="14_{CF831A08-17D2-4918-922D-CE0A9A3F5202}" xr6:coauthVersionLast="47" xr6:coauthVersionMax="47" xr10:uidLastSave="{00000000-0000-0000-0000-000000000000}"/>
  <bookViews>
    <workbookView xWindow="23880" yWindow="4080" windowWidth="29040" windowHeight="17520" tabRatio="526" xr2:uid="{00000000-000D-0000-FFFF-FFFF00000000}"/>
  </bookViews>
  <sheets>
    <sheet name="DFS" sheetId="26" r:id="rId1"/>
  </sheets>
  <definedNames>
    <definedName name="_xlnm._FilterDatabase" localSheetId="0" hidden="1">DFS!$B$9:$B$542</definedName>
    <definedName name="_xlnm.Criteria" localSheetId="0">DFS!$B$65:$B$542</definedName>
    <definedName name="_xlnm.Print_Area" localSheetId="0">DFS!$A$1:$T$597</definedName>
    <definedName name="_xlnm.Print_Titles" localSheetId="0">DFS!$1:$10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77" i="26" l="1"/>
  <c r="T110" i="26"/>
  <c r="T109" i="26"/>
  <c r="T404" i="26"/>
  <c r="T363" i="26"/>
  <c r="T34" i="26"/>
  <c r="N419" i="26" l="1"/>
  <c r="N418" i="26"/>
  <c r="N561" i="26" l="1"/>
  <c r="N410" i="26" l="1"/>
  <c r="N409" i="26"/>
  <c r="N408" i="26"/>
  <c r="N407" i="26"/>
  <c r="N406" i="26"/>
  <c r="N452" i="26"/>
  <c r="N513" i="26" l="1"/>
  <c r="N512" i="26"/>
  <c r="N481" i="26"/>
  <c r="N480" i="26"/>
  <c r="N451" i="26"/>
  <c r="N450" i="26"/>
  <c r="N448" i="26"/>
  <c r="N414" i="26"/>
  <c r="N377" i="26"/>
  <c r="N375" i="26"/>
  <c r="N373" i="26"/>
  <c r="N372" i="26"/>
  <c r="N370" i="26"/>
  <c r="N365" i="26"/>
  <c r="N323" i="26"/>
  <c r="N321" i="26"/>
  <c r="N320" i="26"/>
  <c r="N318" i="26"/>
  <c r="N316" i="26"/>
  <c r="N315" i="26"/>
  <c r="N259" i="26"/>
  <c r="N258" i="26"/>
  <c r="N257" i="26"/>
  <c r="N210" i="26"/>
  <c r="N209" i="26"/>
  <c r="N208" i="26"/>
  <c r="N181" i="26"/>
  <c r="N180" i="26"/>
  <c r="N144" i="26"/>
  <c r="N143" i="26"/>
  <c r="N113" i="26"/>
  <c r="N112" i="26"/>
  <c r="N74" i="26"/>
  <c r="N73" i="26"/>
  <c r="N72" i="26"/>
  <c r="N71" i="26"/>
  <c r="N37" i="26"/>
  <c r="N36" i="26"/>
  <c r="N13" i="26"/>
  <c r="N12" i="26"/>
  <c r="T581" i="26"/>
  <c r="T580" i="26"/>
  <c r="H180" i="26" l="1"/>
  <c r="H181" i="26" s="1"/>
  <c r="H208" i="26"/>
  <c r="H209" i="26" s="1"/>
  <c r="G210" i="26" l="1"/>
  <c r="H210" i="26" s="1"/>
  <c r="H512" i="26"/>
  <c r="G513" i="26" s="1"/>
  <c r="H513" i="26" s="1"/>
  <c r="H480" i="26"/>
  <c r="G481" i="26" s="1"/>
  <c r="H481" i="26" s="1"/>
  <c r="H257" i="26"/>
  <c r="H258" i="26" s="1"/>
  <c r="G259" i="26" s="1"/>
  <c r="H259" i="26" s="1"/>
  <c r="H143" i="26"/>
  <c r="G144" i="26" s="1"/>
  <c r="H144" i="26" s="1"/>
  <c r="H112" i="26"/>
  <c r="G113" i="26" s="1"/>
  <c r="H113" i="26" s="1"/>
  <c r="H37" i="26"/>
  <c r="H365" i="26"/>
  <c r="G367" i="26" s="1"/>
  <c r="H367" i="26" s="1"/>
  <c r="G368" i="26" s="1"/>
  <c r="H368" i="26" s="1"/>
  <c r="H370" i="26" s="1"/>
  <c r="H375" i="26" s="1"/>
  <c r="G377" i="26" s="1"/>
  <c r="H377" i="26" s="1"/>
  <c r="H71" i="26"/>
  <c r="G72" i="26" s="1"/>
  <c r="H72" i="26" s="1"/>
  <c r="G73" i="26" s="1"/>
  <c r="H73" i="26" s="1"/>
  <c r="G74" i="26" s="1"/>
  <c r="H74" i="26" s="1"/>
  <c r="G13" i="26" l="1"/>
  <c r="T446" i="26" l="1"/>
  <c r="T206" i="26"/>
  <c r="T542" i="26"/>
  <c r="T547" i="26"/>
  <c r="T546" i="26" l="1"/>
  <c r="T541" i="26"/>
  <c r="T478" i="26" l="1"/>
  <c r="T173" i="26" l="1"/>
  <c r="T172" i="26" l="1"/>
  <c r="T303" i="26" l="1"/>
  <c r="T362" i="26" l="1"/>
  <c r="T302" i="26"/>
  <c r="T403" i="26" l="1"/>
  <c r="T68" i="26" l="1"/>
  <c r="T205" i="26" l="1"/>
  <c r="T33" i="26"/>
  <c r="T69" i="26" l="1"/>
  <c r="T312" i="26" l="1"/>
  <c r="T313" i="26"/>
  <c r="T297" i="26" l="1"/>
  <c r="T140" i="26" l="1"/>
  <c r="T141" i="26"/>
  <c r="T254" i="26" l="1"/>
  <c r="T64" i="26"/>
  <c r="T178" i="26"/>
  <c r="T255" i="26"/>
  <c r="T298" i="26"/>
  <c r="T308" i="26"/>
  <c r="T510" i="26"/>
  <c r="T552" i="26"/>
  <c r="T557" i="26"/>
  <c r="T556" i="26" l="1"/>
  <c r="T551" i="26"/>
  <c r="T509" i="26"/>
  <c r="T445" i="26"/>
  <c r="T307" i="26"/>
  <c r="T177" i="26"/>
  <c r="T63" i="26"/>
  <c r="AJ479" i="26" l="1"/>
</calcChain>
</file>

<file path=xl/sharedStrings.xml><?xml version="1.0" encoding="utf-8"?>
<sst xmlns="http://schemas.openxmlformats.org/spreadsheetml/2006/main" count="963" uniqueCount="343">
  <si>
    <t xml:space="preserve">TOTAL FLIGHT TIME: </t>
  </si>
  <si>
    <t>JUB</t>
  </si>
  <si>
    <t>MAK</t>
  </si>
  <si>
    <t>CARGO</t>
  </si>
  <si>
    <t xml:space="preserve">ACTUAL FLIGHT TIME: </t>
  </si>
  <si>
    <t xml:space="preserve">MI-17 </t>
  </si>
  <si>
    <t>MI-17</t>
  </si>
  <si>
    <t>ACTUAL FLIGHT TIME:</t>
  </si>
  <si>
    <t>NA/MAINTENANCE</t>
  </si>
  <si>
    <t>REGULAR FLIGHT</t>
  </si>
  <si>
    <t>BOR</t>
  </si>
  <si>
    <t>MI-8 MTV-1</t>
  </si>
  <si>
    <t>UNO-561P</t>
  </si>
  <si>
    <t>UNO-560P</t>
  </si>
  <si>
    <t>UNO-562P</t>
  </si>
  <si>
    <t>UNO-563P</t>
  </si>
  <si>
    <t>L-410</t>
  </si>
  <si>
    <t xml:space="preserve"> </t>
  </si>
  <si>
    <t>KGL</t>
  </si>
  <si>
    <t xml:space="preserve">  (All Timings Local Unless Otherwise specified)</t>
  </si>
  <si>
    <t>AIRCRAFT</t>
  </si>
  <si>
    <t>POSN</t>
  </si>
  <si>
    <t>RF/SFR</t>
  </si>
  <si>
    <t>APPROVAL</t>
  </si>
  <si>
    <t>FROM</t>
  </si>
  <si>
    <t>TO</t>
  </si>
  <si>
    <t>ETD</t>
  </si>
  <si>
    <t>ATD</t>
  </si>
  <si>
    <t>ETA</t>
  </si>
  <si>
    <t>ATA</t>
  </si>
  <si>
    <t>PAX</t>
  </si>
  <si>
    <t>CARGO IN KG</t>
  </si>
  <si>
    <t>REMARKS</t>
  </si>
  <si>
    <t>PLANNED</t>
  </si>
  <si>
    <t>ACTUAL</t>
  </si>
  <si>
    <t>JUBA</t>
  </si>
  <si>
    <t>MALAKAL A/S</t>
  </si>
  <si>
    <t>RUBKONA A/S</t>
  </si>
  <si>
    <t>ENTEBBE</t>
  </si>
  <si>
    <t>WAU</t>
  </si>
  <si>
    <t>RUMBEK</t>
  </si>
  <si>
    <t>AWEIL</t>
  </si>
  <si>
    <t>YAMBIO</t>
  </si>
  <si>
    <t>Y</t>
  </si>
  <si>
    <t>UNO-565P</t>
  </si>
  <si>
    <t>RF YAM 1</t>
  </si>
  <si>
    <t>PIBOR</t>
  </si>
  <si>
    <t>ENROUTE MAINTAIN MIN 7500' AGL</t>
  </si>
  <si>
    <t>NIL</t>
  </si>
  <si>
    <t>ENROUTE MAINTAIN MIN 3000' AGL</t>
  </si>
  <si>
    <t>BUNJ</t>
  </si>
  <si>
    <t>YAM</t>
  </si>
  <si>
    <t>JUB C-1</t>
  </si>
  <si>
    <t>LANDING MANEUVERS ONLY PERMITED WITHIN 3NM</t>
  </si>
  <si>
    <t>DO NOT OVERFLY  MALAKAL TOWN</t>
  </si>
  <si>
    <t>AVOID ALL AREAS WEST OF NILE RIVER</t>
  </si>
  <si>
    <t>RAF-1907</t>
  </si>
  <si>
    <t>KODOK</t>
  </si>
  <si>
    <t>APP MAK INSIDE 10NM ONLY WITHIN RDL 030/190</t>
  </si>
  <si>
    <t>DEP MAK BTN RDL 030/190 TILL 7500FT</t>
  </si>
  <si>
    <t>DESC BELOW 7500' AGL INSIDE 10NM OF YEI</t>
  </si>
  <si>
    <t xml:space="preserve">APP/DEP YEI A/S CLIMB/DESC TO/FM 7500'WITHIN: </t>
  </si>
  <si>
    <t>RDL 310/270, RWY 11 AND RDL 090/130, RWY 29</t>
  </si>
  <si>
    <t>TORIT HLS</t>
  </si>
  <si>
    <t>INSTALLATIONS AND OPEN ASSEMBLY OF PEOPLE</t>
  </si>
  <si>
    <t>UNO-516P</t>
  </si>
  <si>
    <t>DHC-8-311</t>
  </si>
  <si>
    <t>UNO-517P</t>
  </si>
  <si>
    <t>RAF-2712</t>
  </si>
  <si>
    <t>RAF-1510</t>
  </si>
  <si>
    <t>UNO-506P</t>
  </si>
  <si>
    <t>SS CAA CLEARANCE:</t>
  </si>
  <si>
    <t>UGA CAA CLEARANCE:</t>
  </si>
  <si>
    <t>AVOID OVERFLYING BILPAM MILITARY CAMP TO/FM JUBA</t>
  </si>
  <si>
    <t>N04°55'00.06" E031°35'39"  N04°54'56.47" E031°36'13"</t>
  </si>
  <si>
    <t>N04°54'28.16" E031°36'08"  N04°54'32.85" E031°35'35"</t>
  </si>
  <si>
    <t>AVOID OVERFLYING LURI MIL CAMP TO/FM JUBA:</t>
  </si>
  <si>
    <t>N04°53'14.6" E031°25'17.4"  N04°49'24.9" E031°24'54.2"</t>
  </si>
  <si>
    <t>N04°51'49.7" E031°27'20.8''  N04°50'59.1" E031°23'7.1"</t>
  </si>
  <si>
    <t>MAINTAIN 7500FT AGL UNTIL 10NM BFT DESC TO BENTIU A/S</t>
  </si>
  <si>
    <t>(AND 1NM BTN RDL 100/160) FROM BENTIU A/S</t>
  </si>
  <si>
    <t>REMAIN WITHIN 3NM OF BENTIU A/S FOR T/O MANEUVERS</t>
  </si>
  <si>
    <t>AVOID OVERFLYING SSPDF DIVISION HQ</t>
  </si>
  <si>
    <t>AVOID S/SW AREAS OF WAU AND WAU TOWN</t>
  </si>
  <si>
    <t>APP/DEP WAU STRICTLY VIA NE OF WAU</t>
  </si>
  <si>
    <t xml:space="preserve">AVOID OVERFLYING SSPDF BARRACKS ON </t>
  </si>
  <si>
    <t>RIGHT BASE RWY 27 WAU</t>
  </si>
  <si>
    <t>DO NOT FLY WITHIN 5NM RADIUS OF:</t>
  </si>
  <si>
    <t>DO NOT NOT OVERFLY MBORO TRIANGLE</t>
  </si>
  <si>
    <t xml:space="preserve">REMAIN EAST OF THE PRIMARY ROAD  </t>
  </si>
  <si>
    <t>ESPECIALLY DEP TO THE SOUTH EAST</t>
  </si>
  <si>
    <t>AVOID OVERFLY RUMBEK TOWN</t>
  </si>
  <si>
    <t xml:space="preserve">APPR FM SOUTH/NORTH RUMBEK 5NM AWAY OF VIP&amp;MILITARY  </t>
  </si>
  <si>
    <t>T/O RWY 19 RIGHT TURN SW, WEST OR NORTH</t>
  </si>
  <si>
    <t>LNDG RWY 01: APPR FM NORTH, LEFT DOWNWIND</t>
  </si>
  <si>
    <t>LEG, FM SOUTH&amp;WEST - LEFT BASE LEG RWY 01</t>
  </si>
  <si>
    <t>LOCAL AUTHORITY NOTIFICATION (TORIT): PENDING</t>
  </si>
  <si>
    <t>DO NOT OVERFLY SSPDF BARRACKS NEAR YAMBIO</t>
  </si>
  <si>
    <t>DO NOT OVERFLY BOR TOWN</t>
  </si>
  <si>
    <t>AVOID OVERFLY MALUAL CHAT (3,5 KM SOUTH OF BOR A/S)</t>
  </si>
  <si>
    <t>AVOID OVERFLY MABIOR KECH (8 KM SOUTH OF BOR A/S)</t>
  </si>
  <si>
    <t>MALAKAL UNC</t>
  </si>
  <si>
    <t>BENTIU HLS-3</t>
  </si>
  <si>
    <t>(07 NM NORTH OF YEI A/S)</t>
  </si>
  <si>
    <t>AVOID W, SW, S, SE CORRIDOR WHILE APP/ DEP BUNJ</t>
  </si>
  <si>
    <t>AVOID OVERFLY DANGAJI AND GENDRASSA CAMP</t>
  </si>
  <si>
    <t>TAMBURA</t>
  </si>
  <si>
    <t>AVOID OVERFLY UNISFA CAMP GOK MACHAR</t>
  </si>
  <si>
    <t>AND AREA TO EAST OF GOK MACHAR</t>
  </si>
  <si>
    <r>
      <t xml:space="preserve">GOK MACHAR: </t>
    </r>
    <r>
      <rPr>
        <b/>
        <sz val="30"/>
        <rFont val="Arial"/>
        <family val="2"/>
      </rPr>
      <t>N 09º 14' 04.34" E026º 51' 36.77"</t>
    </r>
  </si>
  <si>
    <r>
      <rPr>
        <b/>
        <sz val="30"/>
        <color indexed="10"/>
        <rFont val="Arial"/>
        <family val="2"/>
      </rPr>
      <t>MALUAL CHAT:</t>
    </r>
    <r>
      <rPr>
        <b/>
        <sz val="30"/>
        <rFont val="Arial"/>
        <family val="2"/>
      </rPr>
      <t xml:space="preserve"> N06°09'35" E031°34'46"</t>
    </r>
  </si>
  <si>
    <r>
      <t>MABIOR KECH:</t>
    </r>
    <r>
      <rPr>
        <b/>
        <sz val="30"/>
        <rFont val="Arial"/>
        <family val="2"/>
      </rPr>
      <t xml:space="preserve"> N06°06'50" E031°35'09" </t>
    </r>
  </si>
  <si>
    <r>
      <t>DANGAJI:</t>
    </r>
    <r>
      <rPr>
        <b/>
        <sz val="30"/>
        <color rgb="FF000000"/>
        <rFont val="Arial"/>
        <family val="2"/>
      </rPr>
      <t xml:space="preserve"> N09°55'34" E033°39'35"</t>
    </r>
  </si>
  <si>
    <r>
      <t>GENDRASSA:</t>
    </r>
    <r>
      <rPr>
        <b/>
        <sz val="30"/>
        <color rgb="FF000000"/>
        <rFont val="Arial"/>
        <family val="2"/>
      </rPr>
      <t xml:space="preserve"> N09°59'02" E033°36'29" </t>
    </r>
  </si>
  <si>
    <r>
      <t xml:space="preserve">3 NM AVOIDANCE ZONE OF ULANG </t>
    </r>
    <r>
      <rPr>
        <b/>
        <sz val="30"/>
        <rFont val="Arial"/>
        <family val="2"/>
      </rPr>
      <t xml:space="preserve">N 09°52'58.00''/E 033°37'48.00'' </t>
    </r>
  </si>
  <si>
    <t>AVOID OVERFLYING MAJACK CAMP IN WARRAP TOWN</t>
  </si>
  <si>
    <r>
      <t xml:space="preserve">BUSSERA: </t>
    </r>
    <r>
      <rPr>
        <b/>
        <sz val="30"/>
        <rFont val="Arial"/>
        <family val="2"/>
      </rPr>
      <t>N07°35'00.787" E028°02'07.203"</t>
    </r>
  </si>
  <si>
    <r>
      <t xml:space="preserve">BISSEELIA: </t>
    </r>
    <r>
      <rPr>
        <b/>
        <sz val="30"/>
        <rFont val="Arial"/>
        <family val="2"/>
      </rPr>
      <t>N07°46'22.332" E027°42'04.706"</t>
    </r>
  </si>
  <si>
    <r>
      <t xml:space="preserve">FARAJ ALLAH: </t>
    </r>
    <r>
      <rPr>
        <b/>
        <sz val="30"/>
        <rFont val="Arial"/>
        <family val="2"/>
      </rPr>
      <t>N07°32'12.359" E027°46'15.39"</t>
    </r>
  </si>
  <si>
    <r>
      <t xml:space="preserve">BAZIA: </t>
    </r>
    <r>
      <rPr>
        <b/>
        <sz val="30"/>
        <rFont val="Arial"/>
        <family val="2"/>
      </rPr>
      <t>N</t>
    </r>
    <r>
      <rPr>
        <b/>
        <sz val="30"/>
        <rFont val="Arial"/>
        <family val="2"/>
      </rPr>
      <t>07°07'47.428" E027°53'22.335"</t>
    </r>
  </si>
  <si>
    <r>
      <t>MBORO:</t>
    </r>
    <r>
      <rPr>
        <b/>
        <sz val="30"/>
        <rFont val="Arial"/>
        <family val="2"/>
      </rPr>
      <t> N07°39'13.27" E027°40'32.30"</t>
    </r>
  </si>
  <si>
    <r>
      <t>BAGARI:</t>
    </r>
    <r>
      <rPr>
        <b/>
        <sz val="30"/>
        <rFont val="Arial"/>
        <family val="2"/>
      </rPr>
      <t> N07°35'21.34" E027°48'29.48"</t>
    </r>
  </si>
  <si>
    <r>
      <t>BAZIA:</t>
    </r>
    <r>
      <rPr>
        <b/>
        <sz val="30"/>
        <rFont val="Arial"/>
        <family val="2"/>
      </rPr>
      <t xml:space="preserve"> N07°07'46.23" E027°53'27.40"</t>
    </r>
  </si>
  <si>
    <r>
      <rPr>
        <b/>
        <sz val="30"/>
        <color indexed="10"/>
        <rFont val="Arial"/>
        <family val="2"/>
      </rPr>
      <t>SSPDF BARRACKS:</t>
    </r>
    <r>
      <rPr>
        <b/>
        <sz val="30"/>
        <rFont val="Arial"/>
        <family val="2"/>
      </rPr>
      <t xml:space="preserve"> N04°33'55.76" E028°25'31.34"</t>
    </r>
  </si>
  <si>
    <t>YEI</t>
  </si>
  <si>
    <r>
      <t>AVOID OVERFLY MUKAYA TOWN:</t>
    </r>
    <r>
      <rPr>
        <b/>
        <sz val="30"/>
        <rFont val="Arial"/>
        <family val="2"/>
      </rPr>
      <t xml:space="preserve"> 4°14'34.4"N 30°43'08.9"E</t>
    </r>
  </si>
  <si>
    <t>PIC TO READ AND UNDERSTAND RA BFR FLT</t>
  </si>
  <si>
    <t>JUB C-2</t>
  </si>
  <si>
    <t>RF EBB 2</t>
  </si>
  <si>
    <t>JUB C-5</t>
  </si>
  <si>
    <t>JUB C-6</t>
  </si>
  <si>
    <t>RAF-1209</t>
  </si>
  <si>
    <t>UNO-548P</t>
  </si>
  <si>
    <t>UNO-549P</t>
  </si>
  <si>
    <t>AWL</t>
  </si>
  <si>
    <t>RF MAK 2</t>
  </si>
  <si>
    <t>UNO-524P</t>
  </si>
  <si>
    <t>UNO-525P</t>
  </si>
  <si>
    <t>UNO-526P</t>
  </si>
  <si>
    <t>UNO-527P</t>
  </si>
  <si>
    <t>DO-228-202</t>
  </si>
  <si>
    <t>UNO-528P</t>
  </si>
  <si>
    <r>
      <t xml:space="preserve">WPT D COORD: </t>
    </r>
    <r>
      <rPr>
        <b/>
        <sz val="30"/>
        <rFont val="Arial"/>
        <family val="2"/>
      </rPr>
      <t>N05°56'45" E031°37'50"</t>
    </r>
  </si>
  <si>
    <t>UNO-535P</t>
  </si>
  <si>
    <t>UR-HZA</t>
  </si>
  <si>
    <t>UNO-536P</t>
  </si>
  <si>
    <t>UR-UHX</t>
  </si>
  <si>
    <t>UNO-505P</t>
  </si>
  <si>
    <t>EBB</t>
  </si>
  <si>
    <t>SFR/MOVORD/APP</t>
  </si>
  <si>
    <t>UNO-540P</t>
  </si>
  <si>
    <t>Esu</t>
  </si>
  <si>
    <t>Block Start</t>
  </si>
  <si>
    <t>Block End</t>
  </si>
  <si>
    <t>TOTAL</t>
  </si>
  <si>
    <t>TAXI</t>
  </si>
  <si>
    <t>Esd</t>
  </si>
  <si>
    <t>TIME</t>
  </si>
  <si>
    <t>UNO-523P</t>
  </si>
  <si>
    <t>3B-NBS</t>
  </si>
  <si>
    <t xml:space="preserve">3B-NCK </t>
  </si>
  <si>
    <t>UR-HZO</t>
  </si>
  <si>
    <t>UR-UHI</t>
  </si>
  <si>
    <t>UNO-543P</t>
  </si>
  <si>
    <t>UR-OXF</t>
  </si>
  <si>
    <t>UNO-542P</t>
  </si>
  <si>
    <t>3B-NCS</t>
  </si>
  <si>
    <t>5Y-RNX</t>
  </si>
  <si>
    <t>AVOID OVERFLYING WUNLIET MIL CAMP TO/FM JUBA:</t>
  </si>
  <si>
    <t>N04°54'22.5" E031°19'05.5"  N05°00'13.1" E031°18'50.5"</t>
  </si>
  <si>
    <t>N05°00'05.7" E031°25'20.8''  N04°57'12.0" E031°28'52.9"</t>
  </si>
  <si>
    <t xml:space="preserve">N04°54'19.2" E031°28'57.6''  </t>
  </si>
  <si>
    <t>RAF-61504</t>
  </si>
  <si>
    <t>DHC-8-400</t>
  </si>
  <si>
    <t>CHIEF AVIATION</t>
  </si>
  <si>
    <t>AVOID OVERFLYING GOROM BARACKS TO/FM JUBA // NFZ 5 NM DIAMETER</t>
  </si>
  <si>
    <r>
      <t xml:space="preserve">GOROM BARACKS: </t>
    </r>
    <r>
      <rPr>
        <b/>
        <sz val="30"/>
        <rFont val="Arial"/>
        <family val="2"/>
      </rPr>
      <t>N 04°45'24.6" E 31°26'46.2</t>
    </r>
  </si>
  <si>
    <t>5Y-CCS</t>
  </si>
  <si>
    <t>UR-EDI</t>
  </si>
  <si>
    <t>5Y-DRX</t>
  </si>
  <si>
    <t>3B-NCB</t>
  </si>
  <si>
    <t>UR-UHW</t>
  </si>
  <si>
    <t>N/A</t>
  </si>
  <si>
    <t>SAMUEL ABROKWA</t>
  </si>
  <si>
    <t>EXT: 7548</t>
  </si>
  <si>
    <t>UR-UZG</t>
  </si>
  <si>
    <t>AN-26B-100</t>
  </si>
  <si>
    <r>
      <t>SSPDF DIVISION HQ:</t>
    </r>
    <r>
      <rPr>
        <b/>
        <sz val="30"/>
        <rFont val="Arial"/>
        <family val="2"/>
      </rPr>
      <t xml:space="preserve"> N09°17'15" E029°47'47"</t>
    </r>
  </si>
  <si>
    <t>RF PAX//</t>
  </si>
  <si>
    <t>JVMM HQ FSA TORIT:</t>
  </si>
  <si>
    <t>RECEIVED</t>
  </si>
  <si>
    <t>JVMM HQ FSA JUBA:</t>
  </si>
  <si>
    <t>RTB//</t>
  </si>
  <si>
    <t>JVMM HQ FSA MALAKAL:</t>
  </si>
  <si>
    <t>JVMM HQ FSA BENTIU/RUBKONA:</t>
  </si>
  <si>
    <t xml:space="preserve">ENTEBBE </t>
  </si>
  <si>
    <t xml:space="preserve">RF PAX// </t>
  </si>
  <si>
    <t>JVMM HQ FSA BOR:</t>
  </si>
  <si>
    <t>JVMM HQ FSA RUMBEK:</t>
  </si>
  <si>
    <t>JVMM HQ FSA YAMBIO:</t>
  </si>
  <si>
    <t>JVMM HQ FSA WAU:</t>
  </si>
  <si>
    <t>JVMM HQ FSA AWEIL:</t>
  </si>
  <si>
    <t>JVMM HQ FSA PIBOR:</t>
  </si>
  <si>
    <t>JVMM HQ FSA YEI:</t>
  </si>
  <si>
    <t>JVMM HQ FSA TAMBURA:</t>
  </si>
  <si>
    <t>JVMM HQ FSA KODOK:</t>
  </si>
  <si>
    <t>JVMM HQ FSA BUNJ:</t>
  </si>
  <si>
    <t>JVMM HQ FSA LEER:</t>
  </si>
  <si>
    <t>KOCH-1</t>
  </si>
  <si>
    <t>JVMM HQ FSA KOCH:</t>
  </si>
  <si>
    <t>CAA071209592 DD 27/08/2025</t>
  </si>
  <si>
    <t>5Y-JXB</t>
  </si>
  <si>
    <t>RBK</t>
  </si>
  <si>
    <t>N/A - MAINTENANCE</t>
  </si>
  <si>
    <t>N/A - MAINTENANCE (PENDING SSCAA INSPECTION)</t>
  </si>
  <si>
    <t>NFR (PENDING SSCAA INSPECTION)</t>
  </si>
  <si>
    <t>NFR</t>
  </si>
  <si>
    <t>TOB BNT 1 MOD</t>
  </si>
  <si>
    <t xml:space="preserve">LEER A/S </t>
  </si>
  <si>
    <t>TOB BNT 2 MOD</t>
  </si>
  <si>
    <r>
      <t xml:space="preserve">RA BENTIU/RUBKONA: </t>
    </r>
    <r>
      <rPr>
        <b/>
        <sz val="30"/>
        <color theme="1"/>
        <rFont val="Arial"/>
        <family val="2"/>
      </rPr>
      <t>12314</t>
    </r>
  </si>
  <si>
    <r>
      <t xml:space="preserve">RA LEER: </t>
    </r>
    <r>
      <rPr>
        <b/>
        <sz val="30"/>
        <color theme="1"/>
        <rFont val="Arial"/>
        <family val="2"/>
      </rPr>
      <t>12318</t>
    </r>
  </si>
  <si>
    <t>COB JUB 1 MOD</t>
  </si>
  <si>
    <t>COB JUB 2 MOD</t>
  </si>
  <si>
    <r>
      <t>RA PIBOR:</t>
    </r>
    <r>
      <rPr>
        <b/>
        <sz val="30"/>
        <color rgb="FF000000"/>
        <rFont val="Arial"/>
        <family val="2"/>
      </rPr>
      <t xml:space="preserve"> 12321</t>
    </r>
  </si>
  <si>
    <r>
      <t xml:space="preserve">RA YEI: </t>
    </r>
    <r>
      <rPr>
        <b/>
        <sz val="30"/>
        <color theme="1"/>
        <rFont val="Arial"/>
        <family val="2"/>
      </rPr>
      <t>12325</t>
    </r>
  </si>
  <si>
    <t>Tele.contacts: Chief Aviation -mob.0912 178 275/ext.7548;  OIC Air Ops-mob.0912 582 768/ext.7045; Air Ops Duty Officer-mob.0912 170 130/ext.7214/Tetra:12767; OIC Planning Unit-mob.0912 582 768/ext.7045;
OIC Current Ops-mob.0912 582 768/ext.7045; FF-mob.0912168886/ext.7961/7621, COMM HF: 9004 KHz(Primary),7825 Khz (Secondary)</t>
  </si>
  <si>
    <t>DEJAN SESUM</t>
  </si>
  <si>
    <t>TIMOTHY AKPATSA</t>
  </si>
  <si>
    <t>CHIEF TCU</t>
  </si>
  <si>
    <t>OIC AIR OPERATIONS</t>
  </si>
  <si>
    <t>TETRA: 12640</t>
  </si>
  <si>
    <t>EXT: 7045</t>
  </si>
  <si>
    <t>EXT: 7019</t>
  </si>
  <si>
    <t>APP OCT 2025</t>
  </si>
  <si>
    <r>
      <t xml:space="preserve">RA YAMBIO: </t>
    </r>
    <r>
      <rPr>
        <b/>
        <sz val="30"/>
        <color rgb="FF000000"/>
        <rFont val="Arial"/>
        <family val="2"/>
      </rPr>
      <t>12345</t>
    </r>
  </si>
  <si>
    <r>
      <t xml:space="preserve">RA TAMBURA: </t>
    </r>
    <r>
      <rPr>
        <b/>
        <sz val="30"/>
        <color rgb="FF000000"/>
        <rFont val="Arial"/>
        <family val="2"/>
      </rPr>
      <t>12344</t>
    </r>
  </si>
  <si>
    <r>
      <t xml:space="preserve">SSPDF DIVISION HQ: </t>
    </r>
    <r>
      <rPr>
        <b/>
        <sz val="30"/>
        <color theme="1"/>
        <rFont val="Arial"/>
        <family val="2"/>
      </rPr>
      <t>N09°17'15" E029°47'47"</t>
    </r>
  </si>
  <si>
    <r>
      <t>RA MALAKAL:</t>
    </r>
    <r>
      <rPr>
        <b/>
        <sz val="30"/>
        <rFont val="Arial"/>
        <family val="2"/>
      </rPr>
      <t xml:space="preserve"> 12319</t>
    </r>
  </si>
  <si>
    <r>
      <t>RA BENTIU/RUBKONA:</t>
    </r>
    <r>
      <rPr>
        <b/>
        <sz val="30"/>
        <rFont val="Arial"/>
        <family val="2"/>
      </rPr>
      <t xml:space="preserve"> 12314</t>
    </r>
  </si>
  <si>
    <r>
      <t>RA KODOK:</t>
    </r>
    <r>
      <rPr>
        <b/>
        <sz val="30"/>
        <rFont val="Arial"/>
        <family val="2"/>
      </rPr>
      <t xml:space="preserve"> 12317</t>
    </r>
  </si>
  <si>
    <r>
      <t>RA BUNJ:</t>
    </r>
    <r>
      <rPr>
        <b/>
        <sz val="30"/>
        <rFont val="Arial"/>
        <family val="2"/>
      </rPr>
      <t xml:space="preserve"> 12314</t>
    </r>
  </si>
  <si>
    <t>POSITIONING//</t>
  </si>
  <si>
    <t>COB MAK 2 MOD</t>
  </si>
  <si>
    <t>KAKA</t>
  </si>
  <si>
    <t>COB MAK 3 MOD</t>
  </si>
  <si>
    <t>JVMM HQ FSA KAKA:</t>
  </si>
  <si>
    <r>
      <t xml:space="preserve">RA KAKA: </t>
    </r>
    <r>
      <rPr>
        <b/>
        <sz val="30"/>
        <color theme="1"/>
        <rFont val="Arial"/>
        <family val="2"/>
      </rPr>
      <t>12369</t>
    </r>
  </si>
  <si>
    <r>
      <rPr>
        <b/>
        <sz val="30"/>
        <color rgb="FFFF0000"/>
        <rFont val="Arial"/>
        <family val="2"/>
      </rPr>
      <t>KAKA</t>
    </r>
    <r>
      <rPr>
        <b/>
        <sz val="30"/>
        <color rgb="FF00B050"/>
        <rFont val="Arial"/>
        <family val="2"/>
      </rPr>
      <t>:</t>
    </r>
    <r>
      <rPr>
        <b/>
        <sz val="30"/>
        <rFont val="Arial"/>
        <family val="2"/>
      </rPr>
      <t xml:space="preserve"> N10° 34' 41.3'' E032° 09' 17''</t>
    </r>
  </si>
  <si>
    <t>KAK</t>
  </si>
  <si>
    <t>DAP DEPLOY// DAP PAX+FM// 2HR GT//</t>
  </si>
  <si>
    <t>DAP REDEPLOY// DAP PAX+FM//</t>
  </si>
  <si>
    <t>RF PAX// 1FM//</t>
  </si>
  <si>
    <t>PE//</t>
  </si>
  <si>
    <t>WATER//</t>
  </si>
  <si>
    <t>15+1</t>
  </si>
  <si>
    <t>16+1</t>
  </si>
  <si>
    <t>12+1</t>
  </si>
  <si>
    <t>17+1</t>
  </si>
  <si>
    <t>14+1</t>
  </si>
  <si>
    <t>RF PAX+SCOMD+1FM// 4HR GT (2HR GT REQUESTED BY SCOMD N)//</t>
  </si>
  <si>
    <t>RF PAX+1FM//</t>
  </si>
  <si>
    <t>RF PAX+SCOMD N+1FM//</t>
  </si>
  <si>
    <t>4+1</t>
  </si>
  <si>
    <t>3+1</t>
  </si>
  <si>
    <t>RESUPPLY FOR TCC// 1FM//</t>
  </si>
  <si>
    <t>1FM//</t>
  </si>
  <si>
    <t>11+1</t>
  </si>
  <si>
    <r>
      <t xml:space="preserve">RF PAX// </t>
    </r>
    <r>
      <rPr>
        <b/>
        <sz val="30"/>
        <color rgb="FFFF0000"/>
        <rFont val="Arial"/>
        <family val="2"/>
      </rPr>
      <t>MUST OVERFLY WPT D: N05°56'45" E031°37'50"</t>
    </r>
    <r>
      <rPr>
        <b/>
        <sz val="30"/>
        <color theme="1"/>
        <rFont val="Arial"/>
        <family val="2"/>
      </rPr>
      <t>//</t>
    </r>
  </si>
  <si>
    <t>PE/WATER/STEEL//</t>
  </si>
  <si>
    <t>PE/WATER//</t>
  </si>
  <si>
    <t>MONBATT DRINKS/WATER/AC GAS+LIGHTER//</t>
  </si>
  <si>
    <t xml:space="preserve">RF PAX+SCOMD S// </t>
  </si>
  <si>
    <t>5Y-CGC</t>
  </si>
  <si>
    <t>RTB// 1FM// 20 X EMPTY FUEL DRUMS//</t>
  </si>
  <si>
    <t>FOOD//</t>
  </si>
  <si>
    <r>
      <t xml:space="preserve">RF PAX// </t>
    </r>
    <r>
      <rPr>
        <b/>
        <sz val="30"/>
        <color rgb="FF0000FF"/>
        <rFont val="Arial"/>
        <family val="2"/>
      </rPr>
      <t>PE//</t>
    </r>
  </si>
  <si>
    <t>PIC TO READ AND UNDERSTAND RA YAMBIO BFR FLT</t>
  </si>
  <si>
    <r>
      <t>RA YAMBIO:</t>
    </r>
    <r>
      <rPr>
        <b/>
        <sz val="30"/>
        <color rgb="FF000000"/>
        <rFont val="Arial"/>
        <family val="2"/>
      </rPr>
      <t xml:space="preserve"> 12345</t>
    </r>
  </si>
  <si>
    <t xml:space="preserve">POSITIONING// </t>
  </si>
  <si>
    <r>
      <t xml:space="preserve">RF PAX// </t>
    </r>
    <r>
      <rPr>
        <b/>
        <sz val="30"/>
        <color rgb="FF0000FF"/>
        <rFont val="Arial"/>
        <family val="2"/>
      </rPr>
      <t>HUMAN BLOOD</t>
    </r>
    <r>
      <rPr>
        <b/>
        <sz val="30"/>
        <color theme="1"/>
        <rFont val="Arial"/>
        <family val="2"/>
      </rPr>
      <t>// RECOVERY FROM LOST LEG ON 13 OCT</t>
    </r>
  </si>
  <si>
    <t>COB YAM 1 MOD</t>
  </si>
  <si>
    <t>RF YAM 1 MOD</t>
  </si>
  <si>
    <t xml:space="preserve">RUBKONA A/S </t>
  </si>
  <si>
    <r>
      <t>37</t>
    </r>
    <r>
      <rPr>
        <sz val="30"/>
        <color rgb="FFFF0000"/>
        <rFont val="Arial"/>
        <family val="2"/>
      </rPr>
      <t>+1</t>
    </r>
  </si>
  <si>
    <r>
      <t xml:space="preserve">RF PAX// 1 X </t>
    </r>
    <r>
      <rPr>
        <b/>
        <sz val="30"/>
        <color rgb="FFFF0000"/>
        <rFont val="Arial"/>
        <family val="2"/>
      </rPr>
      <t>MEDEVAC PAX SITTING CASE</t>
    </r>
    <r>
      <rPr>
        <b/>
        <sz val="30"/>
        <rFont val="Arial"/>
        <family val="2"/>
      </rPr>
      <t>//</t>
    </r>
  </si>
  <si>
    <t>PENDING TCU RELEASE</t>
  </si>
  <si>
    <t>TOR</t>
  </si>
  <si>
    <t>UNO-8001P</t>
  </si>
  <si>
    <t>C-130J</t>
  </si>
  <si>
    <t>N/A - TECHNICAL</t>
  </si>
  <si>
    <r>
      <t>RF PAX FOR TFR TO UNO-524P//</t>
    </r>
    <r>
      <rPr>
        <b/>
        <sz val="25"/>
        <color rgb="FFFF0000"/>
        <rFont val="Arial"/>
        <family val="2"/>
      </rPr>
      <t xml:space="preserve"> MUST OVERFLY WPT D: N05°56'45" E031°37'50"</t>
    </r>
    <r>
      <rPr>
        <b/>
        <sz val="25"/>
        <color theme="1"/>
        <rFont val="Arial"/>
        <family val="2"/>
      </rPr>
      <t>//</t>
    </r>
  </si>
  <si>
    <t>LWENDO MUBITA</t>
  </si>
  <si>
    <t>OIC CURRENT OPS</t>
  </si>
  <si>
    <t>TETRA: 12741</t>
  </si>
  <si>
    <t>TETRA:12776</t>
  </si>
  <si>
    <t>TETRA: 11012777</t>
  </si>
  <si>
    <t>EXT: 7856</t>
  </si>
  <si>
    <t xml:space="preserve"> STAND BY</t>
  </si>
  <si>
    <t>FLIGHT DEPARTED  NOTE: (If the destination is NOT highlighted, the aircraft is still flying)</t>
  </si>
  <si>
    <t>FLIGHT CANCELLED</t>
  </si>
  <si>
    <t>EBB (UTC+3) // JUB (UTC +2)//TIME IN UTC</t>
  </si>
  <si>
    <t>POSITIONING</t>
  </si>
  <si>
    <t>G.E.R</t>
  </si>
  <si>
    <t>NON - REVENUE</t>
  </si>
  <si>
    <t>UNMISS SFR-0554-25</t>
  </si>
  <si>
    <t xml:space="preserve">VERBALLY </t>
  </si>
  <si>
    <t>APPROVED</t>
  </si>
  <si>
    <t>NON REVENUE GER</t>
  </si>
  <si>
    <t>TEST FLIGHT NON REVENUE</t>
  </si>
  <si>
    <t>CAA/UGA/20251013/375G</t>
  </si>
  <si>
    <r>
      <t xml:space="preserve">FSA MALAKAL: </t>
    </r>
    <r>
      <rPr>
        <b/>
        <sz val="30"/>
        <color theme="1"/>
        <rFont val="Arial"/>
        <family val="2"/>
      </rPr>
      <t>RECEIVED</t>
    </r>
  </si>
  <si>
    <r>
      <t>21</t>
    </r>
    <r>
      <rPr>
        <sz val="30"/>
        <color rgb="FFFF0000"/>
        <rFont val="Arial"/>
        <family val="2"/>
      </rPr>
      <t>+1+2</t>
    </r>
  </si>
  <si>
    <r>
      <t>33</t>
    </r>
    <r>
      <rPr>
        <sz val="30"/>
        <color rgb="FFFF0000"/>
        <rFont val="Arial"/>
        <family val="2"/>
      </rPr>
      <t>+1+1+3</t>
    </r>
  </si>
  <si>
    <r>
      <t xml:space="preserve">RF PAX// </t>
    </r>
    <r>
      <rPr>
        <b/>
        <sz val="28"/>
        <color rgb="FFFF0000"/>
        <rFont val="Arial"/>
        <family val="2"/>
      </rPr>
      <t>1 MEDEVAC STRETCHER + 2 MEDICAL ESCORTS (TO JUBA)</t>
    </r>
  </si>
  <si>
    <r>
      <t xml:space="preserve">RF PAX// </t>
    </r>
    <r>
      <rPr>
        <b/>
        <sz val="25"/>
        <color rgb="FFFF0000"/>
        <rFont val="Arial"/>
        <family val="2"/>
      </rPr>
      <t>1 MEDEVAC STRETCHER + 1 MEDEVAC SITTING  + 3 MEDICAL ESCORTS</t>
    </r>
  </si>
  <si>
    <r>
      <t xml:space="preserve">FSA BENTIU/RUBKONA: </t>
    </r>
    <r>
      <rPr>
        <b/>
        <sz val="30"/>
        <color theme="1"/>
        <rFont val="Arial"/>
        <family val="2"/>
      </rPr>
      <t>RECEIVED</t>
    </r>
  </si>
  <si>
    <r>
      <t xml:space="preserve">FSA BENTIU/RUBKONA: </t>
    </r>
    <r>
      <rPr>
        <b/>
        <sz val="26"/>
        <color theme="1"/>
        <rFont val="Arial"/>
        <family val="2"/>
      </rPr>
      <t>RECEIVED</t>
    </r>
  </si>
  <si>
    <r>
      <t xml:space="preserve">LOCAL AUTHORITY NOTIFICATION (BOR): </t>
    </r>
    <r>
      <rPr>
        <b/>
        <sz val="30"/>
        <color theme="1"/>
        <rFont val="Arial"/>
        <family val="2"/>
      </rPr>
      <t>RECEIVED</t>
    </r>
  </si>
  <si>
    <t>RTB// PE//</t>
  </si>
  <si>
    <r>
      <t>FSA YAMBIO:</t>
    </r>
    <r>
      <rPr>
        <b/>
        <sz val="30"/>
        <color theme="1"/>
        <rFont val="Arial"/>
        <family val="2"/>
      </rPr>
      <t xml:space="preserve"> RECEIVED</t>
    </r>
  </si>
  <si>
    <r>
      <t xml:space="preserve">LOCAL AUTHORITY NOTIFICATION (AWEIL): </t>
    </r>
    <r>
      <rPr>
        <b/>
        <sz val="30"/>
        <color theme="1"/>
        <rFont val="Arial"/>
        <family val="2"/>
      </rPr>
      <t>RECEIVED</t>
    </r>
  </si>
  <si>
    <r>
      <t xml:space="preserve">LOCAL AUTHORITY NOTIFICATION (WAU): </t>
    </r>
    <r>
      <rPr>
        <b/>
        <sz val="30"/>
        <color theme="1"/>
        <rFont val="Arial"/>
        <family val="2"/>
      </rPr>
      <t>RECEIVED</t>
    </r>
  </si>
  <si>
    <r>
      <t xml:space="preserve">LOCAL AUTHORITY NOTIFICATION (RUMBEK): </t>
    </r>
    <r>
      <rPr>
        <b/>
        <sz val="30"/>
        <color theme="1"/>
        <rFont val="Arial"/>
        <family val="2"/>
      </rPr>
      <t>RECEIVED</t>
    </r>
  </si>
  <si>
    <r>
      <t xml:space="preserve">FSA PIBOR: </t>
    </r>
    <r>
      <rPr>
        <b/>
        <sz val="30"/>
        <color theme="1"/>
        <rFont val="Arial"/>
        <family val="2"/>
      </rPr>
      <t>RECEIVED</t>
    </r>
  </si>
  <si>
    <r>
      <t xml:space="preserve">FSA KODOK: </t>
    </r>
    <r>
      <rPr>
        <b/>
        <sz val="30"/>
        <color theme="1"/>
        <rFont val="Arial"/>
        <family val="2"/>
      </rPr>
      <t>RECEIVED</t>
    </r>
  </si>
  <si>
    <r>
      <t xml:space="preserve">FSA BUNJ: </t>
    </r>
    <r>
      <rPr>
        <b/>
        <sz val="30"/>
        <color theme="1"/>
        <rFont val="Arial"/>
        <family val="2"/>
      </rPr>
      <t>RECEIVED</t>
    </r>
  </si>
  <si>
    <r>
      <t xml:space="preserve">FSA KAKA: </t>
    </r>
    <r>
      <rPr>
        <b/>
        <sz val="30"/>
        <color theme="1"/>
        <rFont val="Arial"/>
        <family val="2"/>
      </rPr>
      <t>RECEIVED</t>
    </r>
  </si>
  <si>
    <r>
      <t xml:space="preserve">POSITIONING// </t>
    </r>
    <r>
      <rPr>
        <b/>
        <sz val="30"/>
        <color rgb="FF0000FF"/>
        <rFont val="Arial"/>
        <family val="2"/>
      </rPr>
      <t>PE</t>
    </r>
    <r>
      <rPr>
        <b/>
        <sz val="30"/>
        <color theme="1"/>
        <rFont val="Arial"/>
        <family val="2"/>
      </rPr>
      <t>//</t>
    </r>
  </si>
  <si>
    <r>
      <t xml:space="preserve">FSA LEER: </t>
    </r>
    <r>
      <rPr>
        <b/>
        <sz val="30"/>
        <color theme="1"/>
        <rFont val="Arial"/>
        <family val="2"/>
      </rPr>
      <t>RECEIVED</t>
    </r>
  </si>
  <si>
    <t>RECOVERY FROM LOST LEG ON 12 OCT// GEAR AND CREW BAGGAGE DROP OFF</t>
  </si>
  <si>
    <t>MISSION 7 LONG</t>
  </si>
  <si>
    <t>RTB</t>
  </si>
  <si>
    <t>UNMISS Daily Flight Schedule ACTUAL Tuesday 14 October 2025 - Final # 2</t>
  </si>
  <si>
    <r>
      <t>RTB//</t>
    </r>
    <r>
      <rPr>
        <b/>
        <sz val="30"/>
        <color rgb="FFFF0000"/>
        <rFont val="Arial"/>
        <family val="2"/>
      </rPr>
      <t>CANCELLED DUE TO NO PAX</t>
    </r>
  </si>
  <si>
    <t>CANCELLED DUE TO WEATHER AND CUT OFF TIME</t>
  </si>
  <si>
    <t>FSA YEI: RECEIVED</t>
  </si>
  <si>
    <t>CANCELLED BY REQUESTOR</t>
  </si>
  <si>
    <r>
      <t xml:space="preserve">FSA YAMBIO: </t>
    </r>
    <r>
      <rPr>
        <b/>
        <sz val="30"/>
        <color theme="1"/>
        <rFont val="Arial"/>
        <family val="2"/>
      </rPr>
      <t>RECEIVED</t>
    </r>
  </si>
  <si>
    <r>
      <t xml:space="preserve">FSA TAMBURA: </t>
    </r>
    <r>
      <rPr>
        <b/>
        <sz val="30"/>
        <color theme="1"/>
        <rFont val="Arial"/>
        <family val="2"/>
      </rPr>
      <t>RECEIVED</t>
    </r>
  </si>
  <si>
    <r>
      <t xml:space="preserve">RA KOCH: </t>
    </r>
    <r>
      <rPr>
        <b/>
        <strike/>
        <sz val="30"/>
        <color theme="1"/>
        <rFont val="Arial"/>
        <family val="2"/>
      </rPr>
      <t>12316</t>
    </r>
  </si>
  <si>
    <r>
      <t xml:space="preserve">FSA KOCH: </t>
    </r>
    <r>
      <rPr>
        <b/>
        <strike/>
        <sz val="30"/>
        <color theme="1"/>
        <rFont val="Arial"/>
        <family val="2"/>
      </rPr>
      <t>RECEIVED</t>
    </r>
  </si>
  <si>
    <t xml:space="preserve">CAA/UGA/20251014/414H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</si>
</sst>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name val="Arial"/>
      <family val="2"/>
    </font>
    <font>
      <sz val="28"/>
      <color indexed="10"/>
      <name val="Arial"/>
      <family val="2"/>
    </font>
    <font>
      <sz val="30"/>
      <name val="Arial"/>
      <family val="2"/>
    </font>
    <font>
      <sz val="22"/>
      <name val="Arial"/>
      <family val="2"/>
    </font>
    <font>
      <sz val="10"/>
      <name val="Arial"/>
      <family val="2"/>
    </font>
    <font>
      <sz val="30"/>
      <name val="Times New Roman"/>
      <family val="1"/>
    </font>
    <font>
      <b/>
      <sz val="26"/>
      <name val="Arial"/>
      <family val="2"/>
    </font>
    <font>
      <b/>
      <sz val="30"/>
      <name val="Arial"/>
      <family val="2"/>
    </font>
    <font>
      <b/>
      <sz val="30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30"/>
      <color rgb="FFFF0000"/>
      <name val="Arial"/>
      <family val="2"/>
    </font>
    <font>
      <sz val="28"/>
      <color rgb="FF00B050"/>
      <name val="Arial"/>
      <family val="2"/>
    </font>
    <font>
      <sz val="28"/>
      <color rgb="FF008000"/>
      <name val="Arial"/>
      <family val="2"/>
    </font>
    <font>
      <sz val="30"/>
      <color rgb="FFFF0000"/>
      <name val="Arial"/>
      <family val="2"/>
    </font>
    <font>
      <sz val="28"/>
      <color rgb="FFFF0000"/>
      <name val="Arial"/>
      <family val="2"/>
    </font>
    <font>
      <sz val="30"/>
      <color rgb="FF008000"/>
      <name val="Arial"/>
      <family val="2"/>
    </font>
    <font>
      <sz val="28"/>
      <color rgb="FF0000FF"/>
      <name val="Arial"/>
      <family val="2"/>
    </font>
    <font>
      <sz val="30"/>
      <color rgb="FF0000CC"/>
      <name val="Arial"/>
      <family val="2"/>
    </font>
    <font>
      <b/>
      <sz val="30"/>
      <color rgb="FF00B050"/>
      <name val="Arial"/>
      <family val="2"/>
    </font>
    <font>
      <b/>
      <sz val="30"/>
      <color theme="1"/>
      <name val="Arial"/>
      <family val="2"/>
    </font>
    <font>
      <sz val="30"/>
      <color theme="1"/>
      <name val="Arial"/>
      <family val="2"/>
    </font>
    <font>
      <sz val="30"/>
      <color rgb="FF0000FF"/>
      <name val="Arial"/>
      <family val="2"/>
    </font>
    <font>
      <sz val="28"/>
      <color theme="1"/>
      <name val="Arial"/>
      <family val="2"/>
    </font>
    <font>
      <b/>
      <sz val="30"/>
      <color rgb="FF000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sz val="30"/>
      <color theme="0" tint="-0.34998626667073579"/>
      <name val="Arial"/>
      <family val="2"/>
    </font>
    <font>
      <sz val="10"/>
      <color rgb="FFFF0000"/>
      <name val="Arial"/>
      <family val="2"/>
    </font>
    <font>
      <b/>
      <sz val="30"/>
      <color indexed="8"/>
      <name val="Arial"/>
      <family val="2"/>
    </font>
    <font>
      <sz val="30"/>
      <color indexed="16"/>
      <name val="Arial"/>
      <family val="2"/>
    </font>
    <font>
      <b/>
      <sz val="30"/>
      <color rgb="FFFF00FF"/>
      <name val="Arial"/>
      <family val="2"/>
    </font>
    <font>
      <b/>
      <sz val="28"/>
      <name val="Arial"/>
      <family val="2"/>
    </font>
    <font>
      <b/>
      <sz val="30"/>
      <color rgb="FF008000"/>
      <name val="Arial"/>
      <family val="2"/>
    </font>
    <font>
      <sz val="30"/>
      <color rgb="FF000000"/>
      <name val="Arial"/>
      <family val="2"/>
    </font>
    <font>
      <b/>
      <sz val="30"/>
      <color rgb="FF0000FF"/>
      <name val="Arial"/>
      <family val="2"/>
    </font>
    <font>
      <sz val="30"/>
      <color indexed="8"/>
      <name val="Arial"/>
      <family val="2"/>
    </font>
    <font>
      <b/>
      <sz val="30"/>
      <color indexed="12"/>
      <name val="Arial"/>
      <family val="2"/>
    </font>
    <font>
      <b/>
      <strike/>
      <sz val="30"/>
      <color theme="1"/>
      <name val="Arial"/>
      <family val="2"/>
    </font>
    <font>
      <b/>
      <u/>
      <sz val="40"/>
      <color theme="1"/>
      <name val="Times New Roman"/>
      <family val="1"/>
    </font>
    <font>
      <b/>
      <sz val="28"/>
      <color rgb="FFFF0000"/>
      <name val="Arial"/>
      <family val="2"/>
    </font>
    <font>
      <b/>
      <sz val="26"/>
      <color rgb="FFFF0000"/>
      <name val="Arial"/>
      <family val="2"/>
    </font>
    <font>
      <b/>
      <sz val="26"/>
      <color theme="1"/>
      <name val="Arial"/>
      <family val="2"/>
    </font>
    <font>
      <b/>
      <sz val="25"/>
      <color theme="1"/>
      <name val="Arial"/>
      <family val="2"/>
    </font>
    <font>
      <b/>
      <sz val="25"/>
      <color rgb="FFFF0000"/>
      <name val="Arial"/>
      <family val="2"/>
    </font>
    <font>
      <b/>
      <strike/>
      <sz val="30"/>
      <color theme="0"/>
      <name val="Arial"/>
      <family val="2"/>
    </font>
    <font>
      <strike/>
      <sz val="30"/>
      <color theme="0"/>
      <name val="Arial"/>
      <family val="2"/>
    </font>
    <font>
      <sz val="17"/>
      <name val="Arial"/>
      <family val="2"/>
    </font>
    <font>
      <sz val="30"/>
      <color indexed="10"/>
      <name val="Arial"/>
      <family val="2"/>
    </font>
    <font>
      <sz val="30"/>
      <color indexed="17"/>
      <name val="Arial"/>
      <family val="2"/>
    </font>
    <font>
      <b/>
      <sz val="24"/>
      <color rgb="FFFF0000"/>
      <name val="Arial"/>
      <family val="2"/>
    </font>
    <font>
      <b/>
      <strike/>
      <sz val="30"/>
      <name val="Arial"/>
      <family val="2"/>
    </font>
    <font>
      <b/>
      <sz val="25"/>
      <name val="Arial"/>
      <family val="2"/>
    </font>
    <font>
      <b/>
      <sz val="25"/>
      <color rgb="FF008000"/>
      <name val="Arial"/>
      <family val="2"/>
    </font>
    <font>
      <b/>
      <strike/>
      <sz val="30"/>
      <color rgb="FFFF0000"/>
      <name val="Arial"/>
      <family val="2"/>
    </font>
    <font>
      <b/>
      <sz val="26"/>
      <color rgb="FF006600"/>
      <name val="Arial"/>
      <family val="2"/>
    </font>
    <font>
      <sz val="30"/>
      <color rgb="FF006600"/>
      <name val="Arial"/>
      <family val="2"/>
    </font>
    <font>
      <b/>
      <sz val="30"/>
      <color rgb="FF006600"/>
      <name val="Arial"/>
      <family val="2"/>
    </font>
    <font>
      <b/>
      <strike/>
      <sz val="30"/>
      <color rgb="FF0066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B0F0"/>
        <bgColor rgb="FF000000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thick">
        <color indexed="64"/>
      </bottom>
      <diagonal/>
    </border>
  </borders>
  <cellStyleXfs count="1500">
    <xf numFmtId="0" fontId="0" fillId="0" borderId="0"/>
    <xf numFmtId="0" fontId="15" fillId="0" borderId="0"/>
    <xf numFmtId="0" fontId="10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582">
    <xf numFmtId="0" fontId="0" fillId="0" borderId="0" xfId="0"/>
    <xf numFmtId="0" fontId="26" fillId="2" borderId="14" xfId="2" applyFont="1" applyFill="1" applyBorder="1" applyAlignment="1">
      <alignment horizontal="left" vertical="center"/>
    </xf>
    <xf numFmtId="20" fontId="27" fillId="2" borderId="7" xfId="0" applyNumberFormat="1" applyFont="1" applyFill="1" applyBorder="1" applyAlignment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0" borderId="0" xfId="0" applyFont="1"/>
    <xf numFmtId="0" fontId="17" fillId="3" borderId="7" xfId="0" applyFont="1" applyFill="1" applyBorder="1"/>
    <xf numFmtId="0" fontId="17" fillId="2" borderId="14" xfId="0" applyFont="1" applyFill="1" applyBorder="1" applyAlignment="1">
      <alignment horizontal="left" vertical="center"/>
    </xf>
    <xf numFmtId="0" fontId="13" fillId="2" borderId="14" xfId="2" applyFont="1" applyFill="1" applyBorder="1" applyAlignment="1">
      <alignment horizontal="left" vertical="center"/>
    </xf>
    <xf numFmtId="0" fontId="17" fillId="2" borderId="14" xfId="2" applyFont="1" applyFill="1" applyBorder="1" applyAlignment="1">
      <alignment horizontal="left" vertical="center"/>
    </xf>
    <xf numFmtId="0" fontId="17" fillId="3" borderId="14" xfId="0" applyFont="1" applyFill="1" applyBorder="1"/>
    <xf numFmtId="0" fontId="13" fillId="2" borderId="7" xfId="2" applyFont="1" applyFill="1" applyBorder="1" applyAlignment="1">
      <alignment horizontal="left" vertical="center"/>
    </xf>
    <xf numFmtId="0" fontId="13" fillId="2" borderId="14" xfId="0" applyFont="1" applyFill="1" applyBorder="1" applyAlignment="1">
      <alignment horizontal="left" vertical="center"/>
    </xf>
    <xf numFmtId="0" fontId="17" fillId="2" borderId="14" xfId="2" applyFont="1" applyFill="1" applyBorder="1"/>
    <xf numFmtId="0" fontId="26" fillId="2" borderId="14" xfId="0" applyFont="1" applyFill="1" applyBorder="1" applyAlignment="1">
      <alignment horizontal="left" vertical="center"/>
    </xf>
    <xf numFmtId="0" fontId="27" fillId="2" borderId="8" xfId="0" applyFont="1" applyFill="1" applyBorder="1" applyAlignment="1">
      <alignment horizontal="center" vertical="center"/>
    </xf>
    <xf numFmtId="0" fontId="20" fillId="2" borderId="8" xfId="0" applyFont="1" applyFill="1" applyBorder="1"/>
    <xf numFmtId="0" fontId="20" fillId="2" borderId="8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left" vertical="center"/>
    </xf>
    <xf numFmtId="20" fontId="20" fillId="2" borderId="8" xfId="0" applyNumberFormat="1" applyFont="1" applyFill="1" applyBorder="1" applyAlignment="1">
      <alignment horizontal="center" vertical="center"/>
    </xf>
    <xf numFmtId="20" fontId="20" fillId="2" borderId="7" xfId="0" applyNumberFormat="1" applyFont="1" applyFill="1" applyBorder="1" applyAlignment="1">
      <alignment horizontal="left"/>
    </xf>
    <xf numFmtId="0" fontId="20" fillId="2" borderId="9" xfId="0" applyFont="1" applyFill="1" applyBorder="1" applyAlignment="1">
      <alignment horizontal="left" vertical="center"/>
    </xf>
    <xf numFmtId="0" fontId="20" fillId="2" borderId="9" xfId="0" applyFont="1" applyFill="1" applyBorder="1" applyAlignment="1">
      <alignment horizontal="center" vertical="center"/>
    </xf>
    <xf numFmtId="20" fontId="20" fillId="2" borderId="9" xfId="0" applyNumberFormat="1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left" vertical="center"/>
    </xf>
    <xf numFmtId="20" fontId="20" fillId="2" borderId="8" xfId="0" applyNumberFormat="1" applyFont="1" applyFill="1" applyBorder="1" applyAlignment="1">
      <alignment horizontal="center"/>
    </xf>
    <xf numFmtId="0" fontId="16" fillId="2" borderId="0" xfId="2" applyFont="1" applyFill="1"/>
    <xf numFmtId="0" fontId="6" fillId="2" borderId="0" xfId="0" applyFont="1" applyFill="1" applyAlignment="1">
      <alignment horizontal="center"/>
    </xf>
    <xf numFmtId="20" fontId="20" fillId="2" borderId="5" xfId="0" applyNumberFormat="1" applyFont="1" applyFill="1" applyBorder="1" applyAlignment="1">
      <alignment horizontal="left"/>
    </xf>
    <xf numFmtId="0" fontId="6" fillId="2" borderId="0" xfId="0" applyFont="1" applyFill="1"/>
    <xf numFmtId="0" fontId="17" fillId="2" borderId="0" xfId="0" applyFont="1" applyFill="1" applyAlignment="1">
      <alignment horizontal="left" vertical="center"/>
    </xf>
    <xf numFmtId="0" fontId="17" fillId="2" borderId="8" xfId="0" applyFont="1" applyFill="1" applyBorder="1" applyAlignment="1">
      <alignment horizontal="center"/>
    </xf>
    <xf numFmtId="0" fontId="7" fillId="2" borderId="0" xfId="0" applyFont="1" applyFill="1"/>
    <xf numFmtId="0" fontId="7" fillId="2" borderId="13" xfId="0" applyFont="1" applyFill="1" applyBorder="1"/>
    <xf numFmtId="0" fontId="6" fillId="2" borderId="0" xfId="0" applyFont="1" applyFill="1" applyAlignment="1">
      <alignment vertical="center"/>
    </xf>
    <xf numFmtId="0" fontId="6" fillId="2" borderId="13" xfId="0" applyFont="1" applyFill="1" applyBorder="1" applyAlignment="1">
      <alignment vertical="center"/>
    </xf>
    <xf numFmtId="0" fontId="19" fillId="2" borderId="0" xfId="0" applyFont="1" applyFill="1"/>
    <xf numFmtId="0" fontId="6" fillId="2" borderId="13" xfId="0" applyFont="1" applyFill="1" applyBorder="1"/>
    <xf numFmtId="20" fontId="6" fillId="2" borderId="0" xfId="0" applyNumberFormat="1" applyFont="1" applyFill="1" applyAlignment="1">
      <alignment horizontal="center"/>
    </xf>
    <xf numFmtId="20" fontId="7" fillId="2" borderId="0" xfId="0" applyNumberFormat="1" applyFont="1" applyFill="1" applyAlignment="1">
      <alignment horizontal="center"/>
    </xf>
    <xf numFmtId="0" fontId="13" fillId="2" borderId="7" xfId="0" applyFont="1" applyFill="1" applyBorder="1" applyAlignment="1">
      <alignment horizontal="left" vertical="center"/>
    </xf>
    <xf numFmtId="20" fontId="8" fillId="2" borderId="7" xfId="0" applyNumberFormat="1" applyFont="1" applyFill="1" applyBorder="1" applyAlignment="1">
      <alignment horizontal="left"/>
    </xf>
    <xf numFmtId="0" fontId="7" fillId="2" borderId="7" xfId="0" applyFont="1" applyFill="1" applyBorder="1"/>
    <xf numFmtId="0" fontId="6" fillId="2" borderId="7" xfId="0" applyFont="1" applyFill="1" applyBorder="1" applyAlignment="1">
      <alignment vertical="center"/>
    </xf>
    <xf numFmtId="0" fontId="8" fillId="2" borderId="0" xfId="2" applyFont="1" applyFill="1" applyAlignment="1">
      <alignment horizontal="left"/>
    </xf>
    <xf numFmtId="0" fontId="6" fillId="2" borderId="7" xfId="0" applyFont="1" applyFill="1" applyBorder="1"/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8" xfId="0" applyFont="1" applyFill="1" applyBorder="1"/>
    <xf numFmtId="0" fontId="27" fillId="2" borderId="4" xfId="2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20" fontId="28" fillId="2" borderId="8" xfId="0" applyNumberFormat="1" applyFont="1" applyFill="1" applyBorder="1" applyAlignment="1">
      <alignment horizontal="center" vertical="center"/>
    </xf>
    <xf numFmtId="20" fontId="28" fillId="2" borderId="9" xfId="0" applyNumberFormat="1" applyFont="1" applyFill="1" applyBorder="1" applyAlignment="1">
      <alignment horizontal="center" vertical="center"/>
    </xf>
    <xf numFmtId="0" fontId="27" fillId="2" borderId="8" xfId="2" applyFont="1" applyFill="1" applyBorder="1" applyAlignment="1">
      <alignment horizontal="center" vertical="center"/>
    </xf>
    <xf numFmtId="0" fontId="17" fillId="2" borderId="2" xfId="2" applyFont="1" applyFill="1" applyBorder="1"/>
    <xf numFmtId="0" fontId="26" fillId="2" borderId="4" xfId="0" applyFont="1" applyFill="1" applyBorder="1" applyAlignment="1">
      <alignment horizontal="left" vertical="center" wrapText="1"/>
    </xf>
    <xf numFmtId="0" fontId="26" fillId="2" borderId="8" xfId="0" applyFont="1" applyFill="1" applyBorder="1" applyAlignment="1">
      <alignment horizontal="left" vertical="center" wrapText="1"/>
    </xf>
    <xf numFmtId="0" fontId="27" fillId="2" borderId="8" xfId="0" applyFont="1" applyFill="1" applyBorder="1"/>
    <xf numFmtId="164" fontId="27" fillId="2" borderId="8" xfId="0" applyNumberFormat="1" applyFont="1" applyFill="1" applyBorder="1" applyAlignment="1">
      <alignment horizontal="center" vertical="center"/>
    </xf>
    <xf numFmtId="20" fontId="27" fillId="2" borderId="8" xfId="0" applyNumberFormat="1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horizontal="left" vertical="center" wrapText="1"/>
    </xf>
    <xf numFmtId="0" fontId="27" fillId="2" borderId="9" xfId="0" applyFont="1" applyFill="1" applyBorder="1"/>
    <xf numFmtId="164" fontId="27" fillId="2" borderId="9" xfId="0" applyNumberFormat="1" applyFont="1" applyFill="1" applyBorder="1" applyAlignment="1">
      <alignment horizontal="center" vertical="center"/>
    </xf>
    <xf numFmtId="20" fontId="27" fillId="2" borderId="9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6" fillId="2" borderId="15" xfId="0" applyFont="1" applyFill="1" applyBorder="1" applyAlignment="1">
      <alignment horizontal="left" vertical="center"/>
    </xf>
    <xf numFmtId="20" fontId="27" fillId="2" borderId="5" xfId="0" applyNumberFormat="1" applyFont="1" applyFill="1" applyBorder="1" applyAlignment="1">
      <alignment horizontal="left"/>
    </xf>
    <xf numFmtId="0" fontId="17" fillId="2" borderId="4" xfId="0" applyFont="1" applyFill="1" applyBorder="1" applyAlignment="1">
      <alignment horizontal="left" vertical="center"/>
    </xf>
    <xf numFmtId="0" fontId="17" fillId="2" borderId="8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horizontal="left" vertical="center" wrapText="1"/>
    </xf>
    <xf numFmtId="0" fontId="17" fillId="2" borderId="8" xfId="0" applyFont="1" applyFill="1" applyBorder="1" applyAlignment="1">
      <alignment horizontal="left" vertical="center" wrapText="1"/>
    </xf>
    <xf numFmtId="0" fontId="17" fillId="2" borderId="9" xfId="0" applyFont="1" applyFill="1" applyBorder="1" applyAlignment="1">
      <alignment horizontal="left" vertical="center" wrapText="1"/>
    </xf>
    <xf numFmtId="0" fontId="13" fillId="2" borderId="14" xfId="0" applyFont="1" applyFill="1" applyBorder="1" applyAlignment="1">
      <alignment horizontal="left" vertical="center" wrapText="1"/>
    </xf>
    <xf numFmtId="0" fontId="27" fillId="2" borderId="4" xfId="2" applyFont="1" applyFill="1" applyBorder="1"/>
    <xf numFmtId="20" fontId="27" fillId="2" borderId="4" xfId="2" applyNumberFormat="1" applyFont="1" applyFill="1" applyBorder="1" applyAlignment="1">
      <alignment horizontal="center" vertical="center"/>
    </xf>
    <xf numFmtId="164" fontId="26" fillId="2" borderId="3" xfId="2" applyNumberFormat="1" applyFont="1" applyFill="1" applyBorder="1" applyAlignment="1">
      <alignment horizontal="left"/>
    </xf>
    <xf numFmtId="0" fontId="27" fillId="2" borderId="8" xfId="2" applyFont="1" applyFill="1" applyBorder="1"/>
    <xf numFmtId="20" fontId="27" fillId="2" borderId="8" xfId="2" applyNumberFormat="1" applyFont="1" applyFill="1" applyBorder="1" applyAlignment="1">
      <alignment horizontal="center" vertical="center"/>
    </xf>
    <xf numFmtId="0" fontId="27" fillId="2" borderId="9" xfId="2" applyFont="1" applyFill="1" applyBorder="1" applyAlignment="1">
      <alignment horizontal="left" vertical="center"/>
    </xf>
    <xf numFmtId="20" fontId="27" fillId="2" borderId="9" xfId="2" applyNumberFormat="1" applyFont="1" applyFill="1" applyBorder="1" applyAlignment="1">
      <alignment horizontal="center" vertical="center"/>
    </xf>
    <xf numFmtId="0" fontId="27" fillId="2" borderId="9" xfId="2" applyFont="1" applyFill="1" applyBorder="1" applyAlignment="1">
      <alignment horizontal="center" vertical="center"/>
    </xf>
    <xf numFmtId="0" fontId="26" fillId="2" borderId="15" xfId="2" applyFont="1" applyFill="1" applyBorder="1" applyAlignment="1">
      <alignment horizontal="left" vertical="center"/>
    </xf>
    <xf numFmtId="0" fontId="26" fillId="2" borderId="14" xfId="0" applyFont="1" applyFill="1" applyBorder="1" applyAlignment="1">
      <alignment horizontal="center" vertical="center"/>
    </xf>
    <xf numFmtId="0" fontId="26" fillId="2" borderId="4" xfId="2" applyFont="1" applyFill="1" applyBorder="1" applyAlignment="1">
      <alignment horizontal="left" vertical="center" wrapText="1"/>
    </xf>
    <xf numFmtId="0" fontId="26" fillId="2" borderId="9" xfId="2" applyFont="1" applyFill="1" applyBorder="1" applyAlignment="1">
      <alignment horizontal="left" vertical="center" wrapText="1"/>
    </xf>
    <xf numFmtId="0" fontId="20" fillId="2" borderId="8" xfId="2" applyFont="1" applyFill="1" applyBorder="1" applyAlignment="1">
      <alignment horizontal="center" vertical="center"/>
    </xf>
    <xf numFmtId="0" fontId="20" fillId="2" borderId="4" xfId="2" applyFont="1" applyFill="1" applyBorder="1" applyAlignment="1">
      <alignment horizontal="center" vertical="center"/>
    </xf>
    <xf numFmtId="0" fontId="28" fillId="2" borderId="8" xfId="2" applyFont="1" applyFill="1" applyBorder="1" applyAlignment="1">
      <alignment horizontal="center" vertical="center"/>
    </xf>
    <xf numFmtId="0" fontId="26" fillId="2" borderId="14" xfId="2" applyFont="1" applyFill="1" applyBorder="1"/>
    <xf numFmtId="0" fontId="20" fillId="2" borderId="4" xfId="2" applyFont="1" applyFill="1" applyBorder="1"/>
    <xf numFmtId="20" fontId="20" fillId="2" borderId="4" xfId="2" applyNumberFormat="1" applyFont="1" applyFill="1" applyBorder="1" applyAlignment="1">
      <alignment horizontal="center" vertical="center"/>
    </xf>
    <xf numFmtId="164" fontId="17" fillId="2" borderId="3" xfId="2" applyNumberFormat="1" applyFont="1" applyFill="1" applyBorder="1" applyAlignment="1">
      <alignment horizontal="left"/>
    </xf>
    <xf numFmtId="0" fontId="20" fillId="2" borderId="8" xfId="2" applyFont="1" applyFill="1" applyBorder="1"/>
    <xf numFmtId="20" fontId="20" fillId="2" borderId="8" xfId="2" applyNumberFormat="1" applyFont="1" applyFill="1" applyBorder="1" applyAlignment="1">
      <alignment horizontal="center" vertical="center"/>
    </xf>
    <xf numFmtId="0" fontId="17" fillId="2" borderId="7" xfId="2" applyFont="1" applyFill="1" applyBorder="1" applyAlignment="1">
      <alignment horizontal="left"/>
    </xf>
    <xf numFmtId="0" fontId="26" fillId="2" borderId="7" xfId="2" applyFont="1" applyFill="1" applyBorder="1" applyAlignment="1">
      <alignment horizontal="left"/>
    </xf>
    <xf numFmtId="20" fontId="28" fillId="2" borderId="9" xfId="2" applyNumberFormat="1" applyFont="1" applyFill="1" applyBorder="1" applyAlignment="1">
      <alignment horizontal="center" vertical="center"/>
    </xf>
    <xf numFmtId="0" fontId="28" fillId="2" borderId="9" xfId="2" applyFont="1" applyFill="1" applyBorder="1" applyAlignment="1">
      <alignment horizontal="center" vertical="center"/>
    </xf>
    <xf numFmtId="0" fontId="17" fillId="2" borderId="14" xfId="2" applyFont="1" applyFill="1" applyBorder="1" applyAlignment="1">
      <alignment horizontal="left"/>
    </xf>
    <xf numFmtId="0" fontId="26" fillId="2" borderId="8" xfId="2" applyFont="1" applyFill="1" applyBorder="1" applyAlignment="1">
      <alignment horizontal="center" vertical="center"/>
    </xf>
    <xf numFmtId="0" fontId="26" fillId="2" borderId="9" xfId="2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8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20" fontId="28" fillId="2" borderId="8" xfId="2" applyNumberFormat="1" applyFont="1" applyFill="1" applyBorder="1" applyAlignment="1">
      <alignment horizontal="center" vertical="center"/>
    </xf>
    <xf numFmtId="0" fontId="8" fillId="2" borderId="0" xfId="2" applyFont="1" applyFill="1" applyAlignment="1">
      <alignment horizontal="left" vertical="center"/>
    </xf>
    <xf numFmtId="164" fontId="28" fillId="2" borderId="8" xfId="0" applyNumberFormat="1" applyFont="1" applyFill="1" applyBorder="1" applyAlignment="1">
      <alignment horizontal="center" vertical="center"/>
    </xf>
    <xf numFmtId="0" fontId="26" fillId="2" borderId="2" xfId="2" applyFont="1" applyFill="1" applyBorder="1"/>
    <xf numFmtId="164" fontId="26" fillId="2" borderId="7" xfId="2" applyNumberFormat="1" applyFont="1" applyFill="1" applyBorder="1" applyAlignment="1">
      <alignment horizontal="left"/>
    </xf>
    <xf numFmtId="20" fontId="28" fillId="2" borderId="4" xfId="2" applyNumberFormat="1" applyFont="1" applyFill="1" applyBorder="1" applyAlignment="1">
      <alignment horizontal="center" vertical="center"/>
    </xf>
    <xf numFmtId="0" fontId="28" fillId="2" borderId="4" xfId="2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164" fontId="20" fillId="2" borderId="8" xfId="0" applyNumberFormat="1" applyFont="1" applyFill="1" applyBorder="1" applyAlignment="1">
      <alignment horizontal="center" vertical="center"/>
    </xf>
    <xf numFmtId="0" fontId="20" fillId="2" borderId="9" xfId="0" applyFont="1" applyFill="1" applyBorder="1"/>
    <xf numFmtId="164" fontId="20" fillId="2" borderId="9" xfId="0" applyNumberFormat="1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left" vertical="center"/>
    </xf>
    <xf numFmtId="0" fontId="17" fillId="2" borderId="4" xfId="2" applyFont="1" applyFill="1" applyBorder="1" applyAlignment="1">
      <alignment horizontal="left" vertical="center" wrapText="1"/>
    </xf>
    <xf numFmtId="0" fontId="17" fillId="2" borderId="3" xfId="2" applyFont="1" applyFill="1" applyBorder="1"/>
    <xf numFmtId="0" fontId="17" fillId="2" borderId="7" xfId="2" applyFont="1" applyFill="1" applyBorder="1"/>
    <xf numFmtId="0" fontId="17" fillId="2" borderId="8" xfId="2" applyFont="1" applyFill="1" applyBorder="1" applyAlignment="1">
      <alignment horizontal="left" vertical="center" wrapText="1"/>
    </xf>
    <xf numFmtId="0" fontId="20" fillId="2" borderId="8" xfId="2" applyFont="1" applyFill="1" applyBorder="1" applyAlignment="1">
      <alignment horizontal="left" vertical="center"/>
    </xf>
    <xf numFmtId="0" fontId="17" fillId="2" borderId="9" xfId="2" applyFont="1" applyFill="1" applyBorder="1" applyAlignment="1">
      <alignment horizontal="left" vertical="center" wrapText="1"/>
    </xf>
    <xf numFmtId="0" fontId="17" fillId="2" borderId="9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left" vertical="center"/>
    </xf>
    <xf numFmtId="20" fontId="20" fillId="2" borderId="9" xfId="2" applyNumberFormat="1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17" fillId="2" borderId="15" xfId="2" applyFont="1" applyFill="1" applyBorder="1" applyAlignment="1">
      <alignment horizontal="left" vertical="center"/>
    </xf>
    <xf numFmtId="0" fontId="8" fillId="2" borderId="4" xfId="2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0" fontId="22" fillId="2" borderId="8" xfId="2" applyFont="1" applyFill="1" applyBorder="1" applyAlignment="1">
      <alignment horizontal="center" vertical="center"/>
    </xf>
    <xf numFmtId="0" fontId="17" fillId="3" borderId="7" xfId="2" applyFont="1" applyFill="1" applyBorder="1" applyAlignment="1">
      <alignment horizontal="left"/>
    </xf>
    <xf numFmtId="20" fontId="27" fillId="2" borderId="3" xfId="2" applyNumberFormat="1" applyFont="1" applyFill="1" applyBorder="1" applyAlignment="1">
      <alignment horizontal="center" vertical="center"/>
    </xf>
    <xf numFmtId="20" fontId="27" fillId="2" borderId="22" xfId="0" applyNumberFormat="1" applyFont="1" applyFill="1" applyBorder="1" applyAlignment="1">
      <alignment horizontal="center" vertical="center"/>
    </xf>
    <xf numFmtId="20" fontId="22" fillId="2" borderId="22" xfId="0" applyNumberFormat="1" applyFont="1" applyFill="1" applyBorder="1" applyAlignment="1">
      <alignment horizontal="center" vertical="center"/>
    </xf>
    <xf numFmtId="20" fontId="27" fillId="2" borderId="7" xfId="2" applyNumberFormat="1" applyFont="1" applyFill="1" applyBorder="1" applyAlignment="1">
      <alignment horizontal="center" vertical="center"/>
    </xf>
    <xf numFmtId="164" fontId="27" fillId="2" borderId="7" xfId="2" applyNumberFormat="1" applyFont="1" applyFill="1" applyBorder="1" applyAlignment="1">
      <alignment horizontal="center" vertical="center"/>
    </xf>
    <xf numFmtId="164" fontId="26" fillId="2" borderId="5" xfId="2" applyNumberFormat="1" applyFont="1" applyFill="1" applyBorder="1" applyAlignment="1">
      <alignment horizontal="center" vertical="center"/>
    </xf>
    <xf numFmtId="0" fontId="27" fillId="2" borderId="7" xfId="0" applyFont="1" applyFill="1" applyBorder="1"/>
    <xf numFmtId="164" fontId="26" fillId="2" borderId="7" xfId="2" applyNumberFormat="1" applyFont="1" applyFill="1" applyBorder="1" applyAlignment="1">
      <alignment horizontal="center" vertical="center"/>
    </xf>
    <xf numFmtId="164" fontId="27" fillId="2" borderId="5" xfId="2" applyNumberFormat="1" applyFont="1" applyFill="1" applyBorder="1" applyAlignment="1">
      <alignment horizontal="center" vertical="center"/>
    </xf>
    <xf numFmtId="20" fontId="27" fillId="2" borderId="7" xfId="0" applyNumberFormat="1" applyFont="1" applyFill="1" applyBorder="1" applyAlignment="1">
      <alignment horizontal="center" vertical="center"/>
    </xf>
    <xf numFmtId="20" fontId="22" fillId="2" borderId="7" xfId="0" applyNumberFormat="1" applyFont="1" applyFill="1" applyBorder="1" applyAlignment="1">
      <alignment horizontal="center" vertical="center"/>
    </xf>
    <xf numFmtId="0" fontId="17" fillId="3" borderId="14" xfId="2" applyFont="1" applyFill="1" applyBorder="1" applyAlignment="1">
      <alignment horizontal="left" vertical="center"/>
    </xf>
    <xf numFmtId="0" fontId="34" fillId="3" borderId="7" xfId="0" applyFont="1" applyFill="1" applyBorder="1"/>
    <xf numFmtId="0" fontId="17" fillId="3" borderId="7" xfId="2" applyFont="1" applyFill="1" applyBorder="1"/>
    <xf numFmtId="0" fontId="13" fillId="2" borderId="2" xfId="0" applyFont="1" applyFill="1" applyBorder="1" applyAlignment="1">
      <alignment horizontal="left" vertical="center" wrapText="1"/>
    </xf>
    <xf numFmtId="0" fontId="13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left" vertical="center"/>
    </xf>
    <xf numFmtId="20" fontId="20" fillId="2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20" fontId="8" fillId="2" borderId="3" xfId="0" applyNumberFormat="1" applyFont="1" applyFill="1" applyBorder="1" applyAlignment="1">
      <alignment horizontal="left"/>
    </xf>
    <xf numFmtId="0" fontId="13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 vertical="center"/>
    </xf>
    <xf numFmtId="20" fontId="20" fillId="2" borderId="0" xfId="0" applyNumberFormat="1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20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20" fontId="27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42" fillId="2" borderId="0" xfId="2" applyFont="1" applyFill="1" applyAlignment="1">
      <alignment horizontal="center" vertical="center"/>
    </xf>
    <xf numFmtId="0" fontId="17" fillId="2" borderId="0" xfId="0" applyFont="1" applyFill="1"/>
    <xf numFmtId="0" fontId="40" fillId="2" borderId="0" xfId="0" applyFont="1" applyFill="1" applyAlignment="1">
      <alignment horizontal="center"/>
    </xf>
    <xf numFmtId="0" fontId="17" fillId="2" borderId="0" xfId="2" applyFont="1" applyFill="1" applyAlignment="1">
      <alignment horizontal="center" vertical="center"/>
    </xf>
    <xf numFmtId="0" fontId="8" fillId="2" borderId="0" xfId="0" applyFont="1" applyFill="1"/>
    <xf numFmtId="0" fontId="13" fillId="2" borderId="0" xfId="0" applyFont="1" applyFill="1"/>
    <xf numFmtId="0" fontId="24" fillId="2" borderId="0" xfId="0" applyFont="1" applyFill="1" applyAlignment="1">
      <alignment horizontal="center"/>
    </xf>
    <xf numFmtId="0" fontId="25" fillId="2" borderId="0" xfId="2" applyFont="1" applyFill="1" applyAlignment="1">
      <alignment horizontal="center" vertical="center"/>
    </xf>
    <xf numFmtId="20" fontId="39" fillId="2" borderId="0" xfId="2" applyNumberFormat="1" applyFont="1" applyFill="1"/>
    <xf numFmtId="0" fontId="13" fillId="2" borderId="0" xfId="0" applyFont="1" applyFill="1" applyAlignment="1">
      <alignment horizontal="left"/>
    </xf>
    <xf numFmtId="0" fontId="21" fillId="2" borderId="0" xfId="0" applyFont="1" applyFill="1"/>
    <xf numFmtId="0" fontId="36" fillId="2" borderId="0" xfId="2" applyFont="1" applyFill="1" applyAlignment="1">
      <alignment horizontal="center" vertical="center"/>
    </xf>
    <xf numFmtId="20" fontId="35" fillId="2" borderId="0" xfId="2" applyNumberFormat="1" applyFont="1" applyFill="1"/>
    <xf numFmtId="20" fontId="37" fillId="2" borderId="0" xfId="2" applyNumberFormat="1" applyFont="1" applyFill="1"/>
    <xf numFmtId="0" fontId="36" fillId="2" borderId="10" xfId="2" applyFont="1" applyFill="1" applyBorder="1" applyAlignment="1">
      <alignment horizontal="center" vertical="center"/>
    </xf>
    <xf numFmtId="0" fontId="17" fillId="3" borderId="14" xfId="2" applyFont="1" applyFill="1" applyBorder="1"/>
    <xf numFmtId="0" fontId="26" fillId="2" borderId="2" xfId="2" applyFont="1" applyFill="1" applyBorder="1" applyAlignment="1">
      <alignment horizontal="left" vertical="center"/>
    </xf>
    <xf numFmtId="0" fontId="17" fillId="2" borderId="4" xfId="2" applyFont="1" applyFill="1" applyBorder="1" applyAlignment="1">
      <alignment horizontal="center" vertical="center"/>
    </xf>
    <xf numFmtId="0" fontId="7" fillId="3" borderId="2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7" fillId="3" borderId="0" xfId="0" applyFont="1" applyFill="1"/>
    <xf numFmtId="0" fontId="7" fillId="3" borderId="13" xfId="0" applyFont="1" applyFill="1" applyBorder="1"/>
    <xf numFmtId="0" fontId="7" fillId="3" borderId="7" xfId="0" applyFont="1" applyFill="1" applyBorder="1"/>
    <xf numFmtId="0" fontId="26" fillId="3" borderId="4" xfId="0" applyFont="1" applyFill="1" applyBorder="1" applyAlignment="1">
      <alignment horizontal="left" vertical="center"/>
    </xf>
    <xf numFmtId="0" fontId="26" fillId="3" borderId="4" xfId="0" applyFont="1" applyFill="1" applyBorder="1" applyAlignment="1">
      <alignment horizontal="center" vertical="center"/>
    </xf>
    <xf numFmtId="0" fontId="8" fillId="3" borderId="4" xfId="2" applyFont="1" applyFill="1" applyBorder="1"/>
    <xf numFmtId="0" fontId="17" fillId="3" borderId="2" xfId="2" applyFont="1" applyFill="1" applyBorder="1"/>
    <xf numFmtId="164" fontId="13" fillId="3" borderId="3" xfId="2" applyNumberFormat="1" applyFont="1" applyFill="1" applyBorder="1" applyAlignment="1">
      <alignment horizontal="left"/>
    </xf>
    <xf numFmtId="0" fontId="8" fillId="3" borderId="0" xfId="2" applyFont="1" applyFill="1" applyAlignment="1">
      <alignment horizontal="left"/>
    </xf>
    <xf numFmtId="0" fontId="19" fillId="3" borderId="0" xfId="0" applyFont="1" applyFill="1"/>
    <xf numFmtId="0" fontId="19" fillId="3" borderId="7" xfId="0" applyFont="1" applyFill="1" applyBorder="1"/>
    <xf numFmtId="0" fontId="26" fillId="3" borderId="8" xfId="0" applyFont="1" applyFill="1" applyBorder="1" applyAlignment="1">
      <alignment horizontal="left" vertical="center"/>
    </xf>
    <xf numFmtId="0" fontId="26" fillId="3" borderId="8" xfId="0" applyFont="1" applyFill="1" applyBorder="1" applyAlignment="1">
      <alignment horizontal="center" vertical="center"/>
    </xf>
    <xf numFmtId="0" fontId="8" fillId="3" borderId="8" xfId="2" applyFont="1" applyFill="1" applyBorder="1"/>
    <xf numFmtId="0" fontId="13" fillId="3" borderId="14" xfId="2" applyFont="1" applyFill="1" applyBorder="1"/>
    <xf numFmtId="0" fontId="13" fillId="3" borderId="7" xfId="2" applyFont="1" applyFill="1" applyBorder="1" applyAlignment="1">
      <alignment horizontal="left"/>
    </xf>
    <xf numFmtId="0" fontId="13" fillId="3" borderId="7" xfId="2" applyFont="1" applyFill="1" applyBorder="1"/>
    <xf numFmtId="0" fontId="26" fillId="3" borderId="14" xfId="2" applyFont="1" applyFill="1" applyBorder="1" applyAlignment="1">
      <alignment horizontal="left" vertical="center"/>
    </xf>
    <xf numFmtId="0" fontId="17" fillId="3" borderId="14" xfId="0" applyFont="1" applyFill="1" applyBorder="1" applyAlignment="1">
      <alignment horizontal="left" vertical="center"/>
    </xf>
    <xf numFmtId="0" fontId="26" fillId="3" borderId="14" xfId="0" applyFont="1" applyFill="1" applyBorder="1"/>
    <xf numFmtId="0" fontId="30" fillId="3" borderId="14" xfId="0" applyFont="1" applyFill="1" applyBorder="1"/>
    <xf numFmtId="0" fontId="47" fillId="3" borderId="14" xfId="0" applyFont="1" applyFill="1" applyBorder="1" applyAlignment="1">
      <alignment horizontal="left" vertical="center"/>
    </xf>
    <xf numFmtId="0" fontId="17" fillId="3" borderId="14" xfId="0" applyFont="1" applyFill="1" applyBorder="1" applyAlignment="1">
      <alignment horizontal="left"/>
    </xf>
    <xf numFmtId="0" fontId="30" fillId="3" borderId="7" xfId="0" applyFont="1" applyFill="1" applyBorder="1"/>
    <xf numFmtId="0" fontId="8" fillId="3" borderId="8" xfId="2" applyFont="1" applyFill="1" applyBorder="1" applyAlignment="1">
      <alignment horizontal="center"/>
    </xf>
    <xf numFmtId="0" fontId="27" fillId="3" borderId="8" xfId="0" applyFont="1" applyFill="1" applyBorder="1"/>
    <xf numFmtId="0" fontId="26" fillId="3" borderId="14" xfId="0" applyFont="1" applyFill="1" applyBorder="1" applyAlignment="1">
      <alignment horizontal="left" vertical="center"/>
    </xf>
    <xf numFmtId="20" fontId="27" fillId="3" borderId="7" xfId="0" applyNumberFormat="1" applyFont="1" applyFill="1" applyBorder="1" applyAlignment="1">
      <alignment horizontal="left"/>
    </xf>
    <xf numFmtId="0" fontId="19" fillId="3" borderId="13" xfId="0" applyFont="1" applyFill="1" applyBorder="1"/>
    <xf numFmtId="0" fontId="26" fillId="3" borderId="9" xfId="0" applyFont="1" applyFill="1" applyBorder="1" applyAlignment="1">
      <alignment horizontal="left" vertical="center"/>
    </xf>
    <xf numFmtId="0" fontId="26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left" vertical="center"/>
    </xf>
    <xf numFmtId="0" fontId="26" fillId="3" borderId="15" xfId="0" applyFont="1" applyFill="1" applyBorder="1" applyAlignment="1">
      <alignment horizontal="left" vertical="center"/>
    </xf>
    <xf numFmtId="20" fontId="27" fillId="3" borderId="5" xfId="0" applyNumberFormat="1" applyFont="1" applyFill="1" applyBorder="1" applyAlignment="1">
      <alignment horizontal="left"/>
    </xf>
    <xf numFmtId="0" fontId="41" fillId="3" borderId="4" xfId="0" applyFont="1" applyFill="1" applyBorder="1" applyAlignment="1">
      <alignment horizontal="left" vertical="center"/>
    </xf>
    <xf numFmtId="0" fontId="41" fillId="3" borderId="4" xfId="0" applyFont="1" applyFill="1" applyBorder="1" applyAlignment="1">
      <alignment horizontal="center" vertical="center"/>
    </xf>
    <xf numFmtId="0" fontId="28" fillId="3" borderId="4" xfId="2" applyFont="1" applyFill="1" applyBorder="1"/>
    <xf numFmtId="0" fontId="41" fillId="3" borderId="2" xfId="2" applyFont="1" applyFill="1" applyBorder="1"/>
    <xf numFmtId="164" fontId="41" fillId="3" borderId="3" xfId="2" applyNumberFormat="1" applyFont="1" applyFill="1" applyBorder="1" applyAlignment="1">
      <alignment horizontal="left"/>
    </xf>
    <xf numFmtId="0" fontId="6" fillId="3" borderId="0" xfId="0" applyFont="1" applyFill="1"/>
    <xf numFmtId="0" fontId="6" fillId="3" borderId="7" xfId="0" applyFont="1" applyFill="1" applyBorder="1"/>
    <xf numFmtId="0" fontId="41" fillId="3" borderId="8" xfId="0" applyFont="1" applyFill="1" applyBorder="1" applyAlignment="1">
      <alignment horizontal="left" vertical="center"/>
    </xf>
    <xf numFmtId="0" fontId="41" fillId="3" borderId="8" xfId="0" applyFont="1" applyFill="1" applyBorder="1" applyAlignment="1">
      <alignment horizontal="center"/>
    </xf>
    <xf numFmtId="0" fontId="41" fillId="3" borderId="8" xfId="2" applyFont="1" applyFill="1" applyBorder="1" applyAlignment="1">
      <alignment horizontal="center" vertical="center"/>
    </xf>
    <xf numFmtId="0" fontId="28" fillId="3" borderId="8" xfId="0" applyFont="1" applyFill="1" applyBorder="1"/>
    <xf numFmtId="0" fontId="41" fillId="3" borderId="14" xfId="2" applyFont="1" applyFill="1" applyBorder="1"/>
    <xf numFmtId="164" fontId="41" fillId="3" borderId="7" xfId="2" applyNumberFormat="1" applyFont="1" applyFill="1" applyBorder="1" applyAlignment="1">
      <alignment horizontal="left"/>
    </xf>
    <xf numFmtId="0" fontId="8" fillId="3" borderId="7" xfId="0" applyFont="1" applyFill="1" applyBorder="1" applyAlignment="1">
      <alignment horizontal="left"/>
    </xf>
    <xf numFmtId="0" fontId="26" fillId="3" borderId="7" xfId="2" applyFont="1" applyFill="1" applyBorder="1" applyAlignment="1">
      <alignment horizontal="left" vertical="center"/>
    </xf>
    <xf numFmtId="0" fontId="30" fillId="5" borderId="7" xfId="0" applyFont="1" applyFill="1" applyBorder="1" applyAlignment="1">
      <alignment horizontal="left" vertical="center"/>
    </xf>
    <xf numFmtId="0" fontId="41" fillId="3" borderId="7" xfId="0" applyFont="1" applyFill="1" applyBorder="1" applyAlignment="1">
      <alignment horizontal="center" vertical="center"/>
    </xf>
    <xf numFmtId="0" fontId="31" fillId="3" borderId="7" xfId="0" applyFont="1" applyFill="1" applyBorder="1"/>
    <xf numFmtId="0" fontId="26" fillId="3" borderId="14" xfId="2" applyFont="1" applyFill="1" applyBorder="1"/>
    <xf numFmtId="0" fontId="26" fillId="3" borderId="7" xfId="2" applyFont="1" applyFill="1" applyBorder="1"/>
    <xf numFmtId="0" fontId="17" fillId="3" borderId="0" xfId="2" applyFont="1" applyFill="1"/>
    <xf numFmtId="0" fontId="41" fillId="3" borderId="8" xfId="0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/>
    </xf>
    <xf numFmtId="0" fontId="41" fillId="3" borderId="14" xfId="0" applyFont="1" applyFill="1" applyBorder="1" applyAlignment="1">
      <alignment horizontal="left" vertical="center"/>
    </xf>
    <xf numFmtId="20" fontId="28" fillId="3" borderId="7" xfId="0" applyNumberFormat="1" applyFont="1" applyFill="1" applyBorder="1" applyAlignment="1">
      <alignment horizontal="left"/>
    </xf>
    <xf numFmtId="0" fontId="41" fillId="3" borderId="8" xfId="2" applyFont="1" applyFill="1" applyBorder="1" applyAlignment="1">
      <alignment horizontal="left" vertical="center" wrapText="1"/>
    </xf>
    <xf numFmtId="0" fontId="41" fillId="3" borderId="9" xfId="2" applyFont="1" applyFill="1" applyBorder="1" applyAlignment="1">
      <alignment horizontal="center" vertical="center"/>
    </xf>
    <xf numFmtId="0" fontId="28" fillId="3" borderId="9" xfId="2" applyFont="1" applyFill="1" applyBorder="1" applyAlignment="1">
      <alignment horizontal="left" vertical="center"/>
    </xf>
    <xf numFmtId="0" fontId="41" fillId="3" borderId="15" xfId="2" applyFont="1" applyFill="1" applyBorder="1" applyAlignment="1">
      <alignment horizontal="left" vertical="center"/>
    </xf>
    <xf numFmtId="20" fontId="28" fillId="3" borderId="5" xfId="0" applyNumberFormat="1" applyFont="1" applyFill="1" applyBorder="1" applyAlignment="1">
      <alignment horizontal="left"/>
    </xf>
    <xf numFmtId="0" fontId="26" fillId="3" borderId="4" xfId="0" applyFont="1" applyFill="1" applyBorder="1" applyAlignment="1">
      <alignment horizontal="left" vertical="center" wrapText="1"/>
    </xf>
    <xf numFmtId="0" fontId="27" fillId="3" borderId="4" xfId="2" applyFont="1" applyFill="1" applyBorder="1"/>
    <xf numFmtId="0" fontId="26" fillId="3" borderId="2" xfId="2" applyFont="1" applyFill="1" applyBorder="1"/>
    <xf numFmtId="164" fontId="26" fillId="3" borderId="3" xfId="2" applyNumberFormat="1" applyFont="1" applyFill="1" applyBorder="1" applyAlignment="1">
      <alignment horizontal="left"/>
    </xf>
    <xf numFmtId="0" fontId="26" fillId="3" borderId="8" xfId="0" applyFont="1" applyFill="1" applyBorder="1" applyAlignment="1">
      <alignment horizontal="left" vertical="center" wrapText="1"/>
    </xf>
    <xf numFmtId="0" fontId="27" fillId="3" borderId="8" xfId="2" applyFont="1" applyFill="1" applyBorder="1"/>
    <xf numFmtId="0" fontId="26" fillId="3" borderId="7" xfId="2" applyFont="1" applyFill="1" applyBorder="1" applyAlignment="1">
      <alignment horizontal="left"/>
    </xf>
    <xf numFmtId="0" fontId="8" fillId="3" borderId="0" xfId="2" applyFont="1" applyFill="1" applyAlignment="1">
      <alignment horizontal="left" vertical="center"/>
    </xf>
    <xf numFmtId="0" fontId="26" fillId="3" borderId="14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left" vertical="center" wrapText="1"/>
    </xf>
    <xf numFmtId="0" fontId="27" fillId="3" borderId="9" xfId="0" applyFont="1" applyFill="1" applyBorder="1"/>
    <xf numFmtId="0" fontId="23" fillId="3" borderId="0" xfId="0" applyFont="1" applyFill="1"/>
    <xf numFmtId="0" fontId="23" fillId="3" borderId="7" xfId="0" applyFont="1" applyFill="1" applyBorder="1"/>
    <xf numFmtId="0" fontId="13" fillId="3" borderId="14" xfId="2" applyFont="1" applyFill="1" applyBorder="1" applyAlignment="1">
      <alignment horizontal="left"/>
    </xf>
    <xf numFmtId="0" fontId="14" fillId="3" borderId="14" xfId="2" applyFont="1" applyFill="1" applyBorder="1"/>
    <xf numFmtId="0" fontId="17" fillId="3" borderId="7" xfId="2" applyFont="1" applyFill="1" applyBorder="1" applyAlignment="1">
      <alignment horizontal="left" vertical="center"/>
    </xf>
    <xf numFmtId="0" fontId="49" fillId="3" borderId="14" xfId="2" applyFont="1" applyFill="1" applyBorder="1"/>
    <xf numFmtId="164" fontId="26" fillId="3" borderId="7" xfId="2" applyNumberFormat="1" applyFont="1" applyFill="1" applyBorder="1" applyAlignment="1">
      <alignment horizontal="left"/>
    </xf>
    <xf numFmtId="0" fontId="13" fillId="3" borderId="14" xfId="0" applyFont="1" applyFill="1" applyBorder="1"/>
    <xf numFmtId="0" fontId="13" fillId="3" borderId="7" xfId="2" applyFont="1" applyFill="1" applyBorder="1" applyAlignment="1">
      <alignment horizontal="left" vertical="center"/>
    </xf>
    <xf numFmtId="0" fontId="13" fillId="3" borderId="7" xfId="0" applyFont="1" applyFill="1" applyBorder="1"/>
    <xf numFmtId="0" fontId="0" fillId="3" borderId="7" xfId="0" applyFill="1" applyBorder="1"/>
    <xf numFmtId="0" fontId="27" fillId="3" borderId="8" xfId="0" applyFont="1" applyFill="1" applyBorder="1" applyAlignment="1">
      <alignment horizontal="left" vertical="center"/>
    </xf>
    <xf numFmtId="0" fontId="26" fillId="3" borderId="8" xfId="0" applyFont="1" applyFill="1" applyBorder="1"/>
    <xf numFmtId="0" fontId="39" fillId="3" borderId="8" xfId="0" applyFont="1" applyFill="1" applyBorder="1" applyAlignment="1">
      <alignment horizontal="center"/>
    </xf>
    <xf numFmtId="0" fontId="26" fillId="3" borderId="8" xfId="2" applyFont="1" applyFill="1" applyBorder="1" applyAlignment="1">
      <alignment horizontal="center" vertical="center"/>
    </xf>
    <xf numFmtId="0" fontId="26" fillId="3" borderId="14" xfId="2" applyFont="1" applyFill="1" applyBorder="1" applyAlignment="1">
      <alignment horizontal="left"/>
    </xf>
    <xf numFmtId="0" fontId="39" fillId="3" borderId="14" xfId="2" applyFont="1" applyFill="1" applyBorder="1" applyAlignment="1">
      <alignment horizontal="left"/>
    </xf>
    <xf numFmtId="0" fontId="17" fillId="5" borderId="14" xfId="0" applyFont="1" applyFill="1" applyBorder="1" applyAlignment="1">
      <alignment horizontal="left" vertical="center"/>
    </xf>
    <xf numFmtId="164" fontId="13" fillId="3" borderId="7" xfId="2" applyNumberFormat="1" applyFont="1" applyFill="1" applyBorder="1" applyAlignment="1">
      <alignment horizontal="left"/>
    </xf>
    <xf numFmtId="0" fontId="17" fillId="3" borderId="4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left" vertical="center" wrapText="1"/>
    </xf>
    <xf numFmtId="0" fontId="17" fillId="3" borderId="8" xfId="0" applyFont="1" applyFill="1" applyBorder="1" applyAlignment="1">
      <alignment horizontal="center" vertical="center"/>
    </xf>
    <xf numFmtId="0" fontId="17" fillId="3" borderId="8" xfId="2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left" vertical="center" wrapText="1"/>
    </xf>
    <xf numFmtId="0" fontId="17" fillId="3" borderId="9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left" vertical="center"/>
    </xf>
    <xf numFmtId="0" fontId="6" fillId="3" borderId="13" xfId="0" applyFont="1" applyFill="1" applyBorder="1"/>
    <xf numFmtId="0" fontId="26" fillId="3" borderId="4" xfId="2" applyFont="1" applyFill="1" applyBorder="1" applyAlignment="1">
      <alignment horizontal="left" vertical="center" wrapText="1"/>
    </xf>
    <xf numFmtId="0" fontId="26" fillId="3" borderId="4" xfId="2" applyFont="1" applyFill="1" applyBorder="1" applyAlignment="1">
      <alignment horizontal="center" vertical="center"/>
    </xf>
    <xf numFmtId="0" fontId="26" fillId="3" borderId="8" xfId="2" applyFont="1" applyFill="1" applyBorder="1" applyAlignment="1">
      <alignment horizontal="left" vertical="center" wrapText="1"/>
    </xf>
    <xf numFmtId="0" fontId="41" fillId="3" borderId="14" xfId="2" applyFont="1" applyFill="1" applyBorder="1" applyAlignment="1">
      <alignment horizontal="left" vertical="center"/>
    </xf>
    <xf numFmtId="0" fontId="41" fillId="3" borderId="7" xfId="2" applyFont="1" applyFill="1" applyBorder="1"/>
    <xf numFmtId="164" fontId="8" fillId="3" borderId="7" xfId="0" applyNumberFormat="1" applyFont="1" applyFill="1" applyBorder="1" applyAlignment="1">
      <alignment horizontal="left"/>
    </xf>
    <xf numFmtId="0" fontId="17" fillId="3" borderId="14" xfId="0" applyFont="1" applyFill="1" applyBorder="1" applyAlignment="1">
      <alignment vertical="center"/>
    </xf>
    <xf numFmtId="0" fontId="27" fillId="3" borderId="8" xfId="2" applyFont="1" applyFill="1" applyBorder="1" applyAlignment="1">
      <alignment horizontal="left" vertical="center"/>
    </xf>
    <xf numFmtId="0" fontId="26" fillId="3" borderId="9" xfId="2" applyFont="1" applyFill="1" applyBorder="1" applyAlignment="1">
      <alignment horizontal="left" vertical="center" wrapText="1"/>
    </xf>
    <xf numFmtId="0" fontId="26" fillId="3" borderId="9" xfId="2" applyFont="1" applyFill="1" applyBorder="1" applyAlignment="1">
      <alignment horizontal="center" vertical="center"/>
    </xf>
    <xf numFmtId="0" fontId="27" fillId="3" borderId="9" xfId="2" applyFont="1" applyFill="1" applyBorder="1" applyAlignment="1">
      <alignment horizontal="left" vertical="center"/>
    </xf>
    <xf numFmtId="0" fontId="26" fillId="3" borderId="15" xfId="2" applyFont="1" applyFill="1" applyBorder="1" applyAlignment="1">
      <alignment horizontal="left" vertical="center"/>
    </xf>
    <xf numFmtId="0" fontId="44" fillId="3" borderId="8" xfId="0" applyFont="1" applyFill="1" applyBorder="1" applyAlignment="1">
      <alignment horizontal="center" vertical="center"/>
    </xf>
    <xf numFmtId="0" fontId="17" fillId="3" borderId="9" xfId="2" applyFont="1" applyFill="1" applyBorder="1" applyAlignment="1">
      <alignment horizontal="center" vertical="center"/>
    </xf>
    <xf numFmtId="0" fontId="6" fillId="3" borderId="8" xfId="0" applyFont="1" applyFill="1" applyBorder="1"/>
    <xf numFmtId="0" fontId="13" fillId="3" borderId="3" xfId="2" applyFont="1" applyFill="1" applyBorder="1"/>
    <xf numFmtId="0" fontId="39" fillId="3" borderId="14" xfId="0" applyFont="1" applyFill="1" applyBorder="1" applyAlignment="1">
      <alignment horizontal="center" vertical="center"/>
    </xf>
    <xf numFmtId="0" fontId="39" fillId="3" borderId="14" xfId="2" applyFont="1" applyFill="1" applyBorder="1"/>
    <xf numFmtId="0" fontId="39" fillId="3" borderId="7" xfId="2" applyFont="1" applyFill="1" applyBorder="1"/>
    <xf numFmtId="0" fontId="25" fillId="3" borderId="14" xfId="2" applyFont="1" applyFill="1" applyBorder="1" applyAlignment="1">
      <alignment horizontal="left" vertical="center"/>
    </xf>
    <xf numFmtId="0" fontId="17" fillId="3" borderId="14" xfId="2" applyFont="1" applyFill="1" applyBorder="1" applyAlignment="1">
      <alignment vertical="center"/>
    </xf>
    <xf numFmtId="0" fontId="8" fillId="3" borderId="7" xfId="2" applyFont="1" applyFill="1" applyBorder="1"/>
    <xf numFmtId="164" fontId="30" fillId="3" borderId="7" xfId="2" applyNumberFormat="1" applyFont="1" applyFill="1" applyBorder="1" applyAlignment="1">
      <alignment horizontal="left"/>
    </xf>
    <xf numFmtId="0" fontId="13" fillId="3" borderId="8" xfId="0" applyFont="1" applyFill="1" applyBorder="1" applyAlignment="1">
      <alignment horizontal="center" vertical="center"/>
    </xf>
    <xf numFmtId="0" fontId="44" fillId="3" borderId="7" xfId="2" applyFont="1" applyFill="1" applyBorder="1" applyAlignment="1">
      <alignment horizontal="left"/>
    </xf>
    <xf numFmtId="20" fontId="27" fillId="3" borderId="8" xfId="0" applyNumberFormat="1" applyFont="1" applyFill="1" applyBorder="1" applyAlignment="1">
      <alignment horizontal="left" vertical="center"/>
    </xf>
    <xf numFmtId="0" fontId="27" fillId="3" borderId="3" xfId="2" applyFont="1" applyFill="1" applyBorder="1"/>
    <xf numFmtId="0" fontId="39" fillId="3" borderId="8" xfId="0" applyFont="1" applyFill="1" applyBorder="1" applyAlignment="1">
      <alignment horizontal="center" vertical="center"/>
    </xf>
    <xf numFmtId="0" fontId="27" fillId="3" borderId="7" xfId="0" applyFont="1" applyFill="1" applyBorder="1"/>
    <xf numFmtId="0" fontId="27" fillId="3" borderId="7" xfId="2" applyFont="1" applyFill="1" applyBorder="1"/>
    <xf numFmtId="0" fontId="27" fillId="3" borderId="9" xfId="2" applyFont="1" applyFill="1" applyBorder="1"/>
    <xf numFmtId="0" fontId="27" fillId="3" borderId="5" xfId="2" applyFont="1" applyFill="1" applyBorder="1"/>
    <xf numFmtId="0" fontId="41" fillId="3" borderId="4" xfId="0" applyFont="1" applyFill="1" applyBorder="1" applyAlignment="1">
      <alignment horizontal="left" vertical="center" wrapText="1"/>
    </xf>
    <xf numFmtId="0" fontId="23" fillId="3" borderId="4" xfId="0" applyFont="1" applyFill="1" applyBorder="1"/>
    <xf numFmtId="0" fontId="18" fillId="3" borderId="0" xfId="0" applyFont="1" applyFill="1"/>
    <xf numFmtId="0" fontId="18" fillId="3" borderId="7" xfId="0" applyFont="1" applyFill="1" applyBorder="1"/>
    <xf numFmtId="0" fontId="33" fillId="3" borderId="0" xfId="0" applyFont="1" applyFill="1"/>
    <xf numFmtId="164" fontId="33" fillId="3" borderId="0" xfId="0" applyNumberFormat="1" applyFont="1" applyFill="1" applyAlignment="1">
      <alignment horizontal="center" vertical="center"/>
    </xf>
    <xf numFmtId="20" fontId="33" fillId="3" borderId="0" xfId="0" applyNumberFormat="1" applyFont="1" applyFill="1" applyAlignment="1">
      <alignment horizontal="center" vertical="center"/>
    </xf>
    <xf numFmtId="0" fontId="41" fillId="3" borderId="8" xfId="0" applyFont="1" applyFill="1" applyBorder="1" applyAlignment="1">
      <alignment horizontal="left" vertical="center" wrapText="1"/>
    </xf>
    <xf numFmtId="0" fontId="23" fillId="3" borderId="8" xfId="0" applyFont="1" applyFill="1" applyBorder="1"/>
    <xf numFmtId="0" fontId="28" fillId="3" borderId="8" xfId="2" applyFont="1" applyFill="1" applyBorder="1"/>
    <xf numFmtId="0" fontId="28" fillId="3" borderId="8" xfId="0" applyFont="1" applyFill="1" applyBorder="1" applyAlignment="1">
      <alignment horizontal="left" vertical="center"/>
    </xf>
    <xf numFmtId="0" fontId="18" fillId="3" borderId="13" xfId="0" applyFont="1" applyFill="1" applyBorder="1"/>
    <xf numFmtId="0" fontId="41" fillId="3" borderId="9" xfId="0" applyFont="1" applyFill="1" applyBorder="1" applyAlignment="1">
      <alignment horizontal="left" vertical="center" wrapText="1"/>
    </xf>
    <xf numFmtId="0" fontId="41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left" vertical="center"/>
    </xf>
    <xf numFmtId="0" fontId="41" fillId="3" borderId="15" xfId="0" applyFont="1" applyFill="1" applyBorder="1" applyAlignment="1">
      <alignment horizontal="left" vertical="center"/>
    </xf>
    <xf numFmtId="0" fontId="29" fillId="3" borderId="0" xfId="0" applyFont="1" applyFill="1"/>
    <xf numFmtId="0" fontId="29" fillId="3" borderId="7" xfId="0" applyFont="1" applyFill="1" applyBorder="1"/>
    <xf numFmtId="0" fontId="41" fillId="3" borderId="14" xfId="2" applyFont="1" applyFill="1" applyBorder="1" applyAlignment="1">
      <alignment horizontal="left"/>
    </xf>
    <xf numFmtId="0" fontId="41" fillId="3" borderId="7" xfId="2" applyFont="1" applyFill="1" applyBorder="1" applyAlignment="1">
      <alignment horizontal="left"/>
    </xf>
    <xf numFmtId="0" fontId="29" fillId="3" borderId="13" xfId="0" applyFont="1" applyFill="1" applyBorder="1"/>
    <xf numFmtId="0" fontId="28" fillId="3" borderId="9" xfId="0" applyFont="1" applyFill="1" applyBorder="1"/>
    <xf numFmtId="0" fontId="6" fillId="3" borderId="0" xfId="0" applyFont="1" applyFill="1" applyAlignment="1">
      <alignment horizontal="center"/>
    </xf>
    <xf numFmtId="0" fontId="38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13" fillId="3" borderId="0" xfId="2" applyFont="1" applyFill="1" applyAlignment="1">
      <alignment horizontal="left" vertical="center"/>
    </xf>
    <xf numFmtId="20" fontId="8" fillId="2" borderId="4" xfId="2" applyNumberFormat="1" applyFont="1" applyFill="1" applyBorder="1" applyAlignment="1">
      <alignment horizontal="center" vertical="center"/>
    </xf>
    <xf numFmtId="20" fontId="8" fillId="2" borderId="8" xfId="2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/>
    </xf>
    <xf numFmtId="164" fontId="40" fillId="2" borderId="8" xfId="0" applyNumberFormat="1" applyFont="1" applyFill="1" applyBorder="1" applyAlignment="1">
      <alignment horizontal="center" vertical="center"/>
    </xf>
    <xf numFmtId="164" fontId="22" fillId="2" borderId="8" xfId="0" applyNumberFormat="1" applyFont="1" applyFill="1" applyBorder="1" applyAlignment="1">
      <alignment horizontal="center" vertical="center"/>
    </xf>
    <xf numFmtId="164" fontId="39" fillId="2" borderId="8" xfId="0" applyNumberFormat="1" applyFont="1" applyFill="1" applyBorder="1" applyAlignment="1">
      <alignment horizontal="center" vertical="center"/>
    </xf>
    <xf numFmtId="164" fontId="13" fillId="2" borderId="8" xfId="0" applyNumberFormat="1" applyFont="1" applyFill="1" applyBorder="1" applyAlignment="1">
      <alignment horizontal="center" vertical="center"/>
    </xf>
    <xf numFmtId="0" fontId="40" fillId="2" borderId="8" xfId="0" applyFont="1" applyFill="1" applyBorder="1" applyAlignment="1">
      <alignment horizontal="center" vertical="center"/>
    </xf>
    <xf numFmtId="20" fontId="17" fillId="2" borderId="0" xfId="2" applyNumberFormat="1" applyFont="1" applyFill="1"/>
    <xf numFmtId="20" fontId="17" fillId="3" borderId="4" xfId="2" applyNumberFormat="1" applyFont="1" applyFill="1" applyBorder="1" applyAlignment="1">
      <alignment horizontal="center" vertical="center"/>
    </xf>
    <xf numFmtId="20" fontId="17" fillId="3" borderId="8" xfId="2" applyNumberFormat="1" applyFont="1" applyFill="1" applyBorder="1" applyAlignment="1">
      <alignment horizontal="center" vertical="center"/>
    </xf>
    <xf numFmtId="164" fontId="17" fillId="3" borderId="8" xfId="0" applyNumberFormat="1" applyFont="1" applyFill="1" applyBorder="1" applyAlignment="1">
      <alignment horizontal="center" vertical="center"/>
    </xf>
    <xf numFmtId="20" fontId="17" fillId="3" borderId="9" xfId="0" applyNumberFormat="1" applyFont="1" applyFill="1" applyBorder="1" applyAlignment="1">
      <alignment horizontal="center" vertical="center"/>
    </xf>
    <xf numFmtId="20" fontId="17" fillId="3" borderId="9" xfId="2" applyNumberFormat="1" applyFont="1" applyFill="1" applyBorder="1" applyAlignment="1">
      <alignment horizontal="center" vertical="center"/>
    </xf>
    <xf numFmtId="20" fontId="17" fillId="2" borderId="4" xfId="2" applyNumberFormat="1" applyFont="1" applyFill="1" applyBorder="1" applyAlignment="1">
      <alignment horizontal="center" vertical="center"/>
    </xf>
    <xf numFmtId="20" fontId="17" fillId="2" borderId="8" xfId="2" applyNumberFormat="1" applyFont="1" applyFill="1" applyBorder="1" applyAlignment="1">
      <alignment horizontal="center" vertical="center"/>
    </xf>
    <xf numFmtId="164" fontId="17" fillId="2" borderId="8" xfId="0" applyNumberFormat="1" applyFont="1" applyFill="1" applyBorder="1" applyAlignment="1">
      <alignment horizontal="center" vertical="center"/>
    </xf>
    <xf numFmtId="164" fontId="17" fillId="2" borderId="9" xfId="0" applyNumberFormat="1" applyFont="1" applyFill="1" applyBorder="1" applyAlignment="1">
      <alignment horizontal="center" vertical="center"/>
    </xf>
    <xf numFmtId="164" fontId="17" fillId="3" borderId="9" xfId="0" applyNumberFormat="1" applyFont="1" applyFill="1" applyBorder="1" applyAlignment="1">
      <alignment horizontal="center" vertical="center"/>
    </xf>
    <xf numFmtId="20" fontId="17" fillId="3" borderId="8" xfId="0" applyNumberFormat="1" applyFont="1" applyFill="1" applyBorder="1" applyAlignment="1">
      <alignment horizontal="center" vertical="center"/>
    </xf>
    <xf numFmtId="20" fontId="17" fillId="2" borderId="9" xfId="2" applyNumberFormat="1" applyFont="1" applyFill="1" applyBorder="1" applyAlignment="1">
      <alignment horizontal="center" vertical="center"/>
    </xf>
    <xf numFmtId="20" fontId="17" fillId="2" borderId="8" xfId="0" applyNumberFormat="1" applyFont="1" applyFill="1" applyBorder="1" applyAlignment="1">
      <alignment horizontal="center" vertical="center"/>
    </xf>
    <xf numFmtId="20" fontId="17" fillId="2" borderId="9" xfId="0" applyNumberFormat="1" applyFont="1" applyFill="1" applyBorder="1" applyAlignment="1">
      <alignment horizontal="center" vertical="center"/>
    </xf>
    <xf numFmtId="164" fontId="17" fillId="3" borderId="8" xfId="2" applyNumberFormat="1" applyFont="1" applyFill="1" applyBorder="1" applyAlignment="1">
      <alignment horizontal="center" vertical="center"/>
    </xf>
    <xf numFmtId="0" fontId="17" fillId="3" borderId="8" xfId="0" applyFont="1" applyFill="1" applyBorder="1"/>
    <xf numFmtId="0" fontId="17" fillId="3" borderId="9" xfId="0" applyFont="1" applyFill="1" applyBorder="1"/>
    <xf numFmtId="20" fontId="17" fillId="2" borderId="8" xfId="0" applyNumberFormat="1" applyFont="1" applyFill="1" applyBorder="1" applyAlignment="1">
      <alignment horizontal="center"/>
    </xf>
    <xf numFmtId="20" fontId="17" fillId="2" borderId="1" xfId="0" applyNumberFormat="1" applyFont="1" applyFill="1" applyBorder="1" applyAlignment="1">
      <alignment horizontal="center" vertical="center"/>
    </xf>
    <xf numFmtId="20" fontId="17" fillId="2" borderId="0" xfId="0" applyNumberFormat="1" applyFont="1" applyFill="1" applyAlignment="1">
      <alignment horizontal="center" vertical="center"/>
    </xf>
    <xf numFmtId="20" fontId="46" fillId="3" borderId="0" xfId="0" applyNumberFormat="1" applyFont="1" applyFill="1" applyAlignment="1">
      <alignment horizontal="center"/>
    </xf>
    <xf numFmtId="20" fontId="17" fillId="3" borderId="22" xfId="0" applyNumberFormat="1" applyFont="1" applyFill="1" applyBorder="1" applyAlignment="1">
      <alignment horizontal="center" vertical="center"/>
    </xf>
    <xf numFmtId="0" fontId="17" fillId="3" borderId="4" xfId="2" applyFont="1" applyFill="1" applyBorder="1" applyAlignment="1">
      <alignment horizontal="center" vertical="center"/>
    </xf>
    <xf numFmtId="20" fontId="17" fillId="3" borderId="8" xfId="0" applyNumberFormat="1" applyFont="1" applyFill="1" applyBorder="1" applyAlignment="1">
      <alignment horizontal="center"/>
    </xf>
    <xf numFmtId="20" fontId="17" fillId="3" borderId="9" xfId="0" applyNumberFormat="1" applyFont="1" applyFill="1" applyBorder="1" applyAlignment="1">
      <alignment horizontal="center"/>
    </xf>
    <xf numFmtId="0" fontId="46" fillId="3" borderId="0" xfId="0" applyFont="1" applyFill="1" applyAlignment="1">
      <alignment horizontal="center"/>
    </xf>
    <xf numFmtId="0" fontId="46" fillId="2" borderId="8" xfId="0" applyFont="1" applyFill="1" applyBorder="1"/>
    <xf numFmtId="0" fontId="48" fillId="2" borderId="4" xfId="0" applyFont="1" applyFill="1" applyBorder="1" applyAlignment="1">
      <alignment vertical="center"/>
    </xf>
    <xf numFmtId="0" fontId="48" fillId="2" borderId="2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0" fontId="48" fillId="2" borderId="4" xfId="0" applyFont="1" applyFill="1" applyBorder="1" applyAlignment="1">
      <alignment horizontal="center" vertical="center"/>
    </xf>
    <xf numFmtId="0" fontId="48" fillId="2" borderId="16" xfId="0" applyFont="1" applyFill="1" applyBorder="1" applyAlignment="1">
      <alignment horizontal="center" vertical="center"/>
    </xf>
    <xf numFmtId="0" fontId="8" fillId="2" borderId="8" xfId="2" applyFont="1" applyFill="1" applyBorder="1"/>
    <xf numFmtId="0" fontId="40" fillId="2" borderId="8" xfId="0" applyFont="1" applyFill="1" applyBorder="1"/>
    <xf numFmtId="164" fontId="17" fillId="2" borderId="8" xfId="2" applyNumberFormat="1" applyFont="1" applyFill="1" applyBorder="1" applyAlignment="1">
      <alignment horizontal="center" vertical="center"/>
    </xf>
    <xf numFmtId="0" fontId="22" fillId="2" borderId="8" xfId="2" applyFont="1" applyFill="1" applyBorder="1"/>
    <xf numFmtId="0" fontId="22" fillId="2" borderId="8" xfId="0" applyFont="1" applyFill="1" applyBorder="1"/>
    <xf numFmtId="20" fontId="17" fillId="2" borderId="7" xfId="0" applyNumberFormat="1" applyFont="1" applyFill="1" applyBorder="1" applyAlignment="1">
      <alignment horizontal="center" vertical="center"/>
    </xf>
    <xf numFmtId="20" fontId="17" fillId="2" borderId="22" xfId="0" applyNumberFormat="1" applyFont="1" applyFill="1" applyBorder="1" applyAlignment="1">
      <alignment horizontal="center" vertical="center"/>
    </xf>
    <xf numFmtId="0" fontId="51" fillId="6" borderId="8" xfId="0" applyFont="1" applyFill="1" applyBorder="1" applyAlignment="1">
      <alignment horizontal="center" vertical="center"/>
    </xf>
    <xf numFmtId="20" fontId="52" fillId="6" borderId="8" xfId="0" applyNumberFormat="1" applyFont="1" applyFill="1" applyBorder="1" applyAlignment="1">
      <alignment horizontal="left" vertical="center"/>
    </xf>
    <xf numFmtId="20" fontId="52" fillId="6" borderId="8" xfId="0" applyNumberFormat="1" applyFont="1" applyFill="1" applyBorder="1" applyAlignment="1">
      <alignment horizontal="center" vertical="center"/>
    </xf>
    <xf numFmtId="0" fontId="51" fillId="6" borderId="8" xfId="2" applyFont="1" applyFill="1" applyBorder="1" applyAlignment="1">
      <alignment horizontal="center" vertical="center"/>
    </xf>
    <xf numFmtId="20" fontId="51" fillId="6" borderId="8" xfId="2" applyNumberFormat="1" applyFont="1" applyFill="1" applyBorder="1" applyAlignment="1">
      <alignment horizontal="center" vertical="center"/>
    </xf>
    <xf numFmtId="0" fontId="52" fillId="6" borderId="8" xfId="0" applyFont="1" applyFill="1" applyBorder="1" applyAlignment="1">
      <alignment horizontal="center" vertical="center"/>
    </xf>
    <xf numFmtId="0" fontId="53" fillId="2" borderId="0" xfId="0" applyFont="1" applyFill="1" applyAlignment="1">
      <alignment horizontal="center"/>
    </xf>
    <xf numFmtId="0" fontId="42" fillId="4" borderId="0" xfId="0" applyFont="1" applyFill="1" applyAlignment="1">
      <alignment horizontal="center" vertical="center"/>
    </xf>
    <xf numFmtId="20" fontId="14" fillId="2" borderId="0" xfId="0" applyNumberFormat="1" applyFont="1" applyFill="1"/>
    <xf numFmtId="20" fontId="35" fillId="2" borderId="0" xfId="0" applyNumberFormat="1" applyFont="1" applyFill="1" applyAlignment="1">
      <alignment horizontal="center"/>
    </xf>
    <xf numFmtId="0" fontId="17" fillId="7" borderId="0" xfId="0" applyFont="1" applyFill="1" applyAlignment="1">
      <alignment horizontal="center" vertical="center"/>
    </xf>
    <xf numFmtId="20" fontId="43" fillId="2" borderId="0" xfId="0" applyNumberFormat="1" applyFont="1" applyFill="1"/>
    <xf numFmtId="0" fontId="53" fillId="2" borderId="0" xfId="0" applyFont="1" applyFill="1"/>
    <xf numFmtId="0" fontId="25" fillId="8" borderId="0" xfId="0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35" fillId="2" borderId="0" xfId="2" applyFont="1" applyFill="1" applyAlignment="1">
      <alignment horizontal="center"/>
    </xf>
    <xf numFmtId="0" fontId="53" fillId="2" borderId="0" xfId="2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21" fillId="2" borderId="0" xfId="2" applyFont="1" applyFill="1"/>
    <xf numFmtId="0" fontId="17" fillId="2" borderId="0" xfId="2" applyFont="1" applyFill="1" applyAlignment="1">
      <alignment horizontal="left" vertical="center"/>
    </xf>
    <xf numFmtId="0" fontId="20" fillId="2" borderId="0" xfId="2" applyFont="1" applyFill="1" applyAlignment="1">
      <alignment horizontal="left" vertical="center"/>
    </xf>
    <xf numFmtId="0" fontId="17" fillId="2" borderId="0" xfId="2" applyFont="1" applyFill="1" applyAlignment="1">
      <alignment horizontal="center"/>
    </xf>
    <xf numFmtId="0" fontId="8" fillId="5" borderId="0" xfId="0" applyFont="1" applyFill="1" applyAlignment="1">
      <alignment horizontal="left" vertical="center"/>
    </xf>
    <xf numFmtId="20" fontId="13" fillId="11" borderId="0" xfId="0" applyNumberFormat="1" applyFont="1" applyFill="1" applyAlignment="1">
      <alignment horizontal="left"/>
    </xf>
    <xf numFmtId="20" fontId="13" fillId="0" borderId="0" xfId="0" applyNumberFormat="1" applyFont="1" applyAlignment="1">
      <alignment horizontal="center"/>
    </xf>
    <xf numFmtId="0" fontId="14" fillId="0" borderId="0" xfId="0" applyFont="1"/>
    <xf numFmtId="0" fontId="17" fillId="0" borderId="0" xfId="0" applyFont="1" applyAlignment="1">
      <alignment horizontal="left" vertical="center"/>
    </xf>
    <xf numFmtId="20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54" fillId="2" borderId="0" xfId="0" applyFont="1" applyFill="1"/>
    <xf numFmtId="0" fontId="17" fillId="0" borderId="0" xfId="0" applyFont="1"/>
    <xf numFmtId="0" fontId="46" fillId="2" borderId="0" xfId="0" applyFont="1" applyFill="1" applyAlignment="1">
      <alignment horizontal="center"/>
    </xf>
    <xf numFmtId="0" fontId="13" fillId="2" borderId="15" xfId="2" applyFont="1" applyFill="1" applyBorder="1" applyAlignment="1">
      <alignment horizontal="left" vertical="center"/>
    </xf>
    <xf numFmtId="0" fontId="35" fillId="2" borderId="10" xfId="2" applyFont="1" applyFill="1" applyBorder="1" applyAlignment="1">
      <alignment horizontal="center"/>
    </xf>
    <xf numFmtId="0" fontId="53" fillId="2" borderId="10" xfId="2" applyFont="1" applyFill="1" applyBorder="1" applyAlignment="1">
      <alignment horizontal="center"/>
    </xf>
    <xf numFmtId="0" fontId="13" fillId="2" borderId="10" xfId="2" applyFont="1" applyFill="1" applyBorder="1" applyAlignment="1">
      <alignment horizontal="left" vertical="center"/>
    </xf>
    <xf numFmtId="0" fontId="7" fillId="2" borderId="10" xfId="2" applyFont="1" applyFill="1" applyBorder="1"/>
    <xf numFmtId="0" fontId="13" fillId="12" borderId="23" xfId="0" applyFont="1" applyFill="1" applyBorder="1" applyAlignment="1">
      <alignment horizontal="left"/>
    </xf>
    <xf numFmtId="20" fontId="13" fillId="11" borderId="23" xfId="0" applyNumberFormat="1" applyFont="1" applyFill="1" applyBorder="1" applyAlignment="1">
      <alignment horizontal="left"/>
    </xf>
    <xf numFmtId="20" fontId="13" fillId="0" borderId="23" xfId="0" applyNumberFormat="1" applyFont="1" applyBorder="1" applyAlignment="1">
      <alignment horizontal="center"/>
    </xf>
    <xf numFmtId="20" fontId="14" fillId="0" borderId="23" xfId="0" applyNumberFormat="1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54" fillId="2" borderId="23" xfId="0" applyFont="1" applyFill="1" applyBorder="1" applyAlignment="1">
      <alignment horizontal="center"/>
    </xf>
    <xf numFmtId="0" fontId="17" fillId="0" borderId="0" xfId="0" applyFont="1" applyAlignment="1">
      <alignment horizontal="left"/>
    </xf>
    <xf numFmtId="0" fontId="55" fillId="2" borderId="0" xfId="0" applyFont="1" applyFill="1" applyAlignment="1">
      <alignment horizontal="left" vertical="center"/>
    </xf>
    <xf numFmtId="20" fontId="6" fillId="3" borderId="2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45" fillId="2" borderId="21" xfId="0" applyFont="1" applyFill="1" applyBorder="1" applyAlignment="1">
      <alignment horizontal="center" vertical="center"/>
    </xf>
    <xf numFmtId="0" fontId="45" fillId="2" borderId="17" xfId="0" applyFont="1" applyFill="1" applyBorder="1" applyAlignment="1">
      <alignment horizontal="center" vertical="center"/>
    </xf>
    <xf numFmtId="0" fontId="45" fillId="2" borderId="18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30" fillId="2" borderId="4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20" fontId="30" fillId="2" borderId="4" xfId="0" applyNumberFormat="1" applyFont="1" applyFill="1" applyBorder="1" applyAlignment="1">
      <alignment horizontal="center" vertical="center"/>
    </xf>
    <xf numFmtId="20" fontId="30" fillId="2" borderId="8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48" fillId="2" borderId="19" xfId="0" applyFont="1" applyFill="1" applyBorder="1" applyAlignment="1">
      <alignment horizontal="center" vertical="center"/>
    </xf>
    <xf numFmtId="0" fontId="48" fillId="2" borderId="12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horizontal="center" vertical="center"/>
    </xf>
    <xf numFmtId="0" fontId="26" fillId="3" borderId="4" xfId="2" applyFont="1" applyFill="1" applyBorder="1" applyAlignment="1">
      <alignment horizontal="center" vertical="center"/>
    </xf>
    <xf numFmtId="0" fontId="26" fillId="3" borderId="8" xfId="2" applyFont="1" applyFill="1" applyBorder="1" applyAlignment="1">
      <alignment horizontal="center" vertical="center"/>
    </xf>
    <xf numFmtId="0" fontId="26" fillId="3" borderId="9" xfId="2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8" fillId="2" borderId="11" xfId="0" applyFont="1" applyFill="1" applyBorder="1" applyAlignment="1">
      <alignment horizontal="center" vertical="center"/>
    </xf>
    <xf numFmtId="0" fontId="26" fillId="2" borderId="4" xfId="2" applyFont="1" applyFill="1" applyBorder="1" applyAlignment="1">
      <alignment horizontal="center" vertical="center" wrapText="1"/>
    </xf>
    <xf numFmtId="0" fontId="26" fillId="2" borderId="8" xfId="2" applyFont="1" applyFill="1" applyBorder="1" applyAlignment="1">
      <alignment horizontal="center" vertical="center" wrapText="1"/>
    </xf>
    <xf numFmtId="0" fontId="26" fillId="2" borderId="9" xfId="2" applyFont="1" applyFill="1" applyBorder="1" applyAlignment="1">
      <alignment horizontal="center" vertical="center" wrapText="1"/>
    </xf>
    <xf numFmtId="0" fontId="26" fillId="3" borderId="8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 wrapText="1"/>
    </xf>
    <xf numFmtId="0" fontId="26" fillId="3" borderId="8" xfId="0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41" fillId="3" borderId="4" xfId="2" applyFont="1" applyFill="1" applyBorder="1" applyAlignment="1">
      <alignment horizontal="center" vertical="center" wrapText="1"/>
    </xf>
    <xf numFmtId="0" fontId="41" fillId="3" borderId="8" xfId="2" applyFont="1" applyFill="1" applyBorder="1" applyAlignment="1">
      <alignment horizontal="center" vertical="center" wrapText="1"/>
    </xf>
    <xf numFmtId="0" fontId="26" fillId="3" borderId="4" xfId="2" applyFont="1" applyFill="1" applyBorder="1" applyAlignment="1">
      <alignment horizontal="center" vertical="center" wrapText="1"/>
    </xf>
    <xf numFmtId="0" fontId="26" fillId="3" borderId="8" xfId="2" applyFont="1" applyFill="1" applyBorder="1" applyAlignment="1">
      <alignment horizontal="center" vertical="center" wrapText="1"/>
    </xf>
    <xf numFmtId="0" fontId="26" fillId="3" borderId="9" xfId="2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center" vertical="center"/>
    </xf>
    <xf numFmtId="0" fontId="17" fillId="2" borderId="9" xfId="2" applyFont="1" applyFill="1" applyBorder="1" applyAlignment="1">
      <alignment horizontal="center" vertical="center"/>
    </xf>
    <xf numFmtId="0" fontId="26" fillId="2" borderId="4" xfId="2" applyFont="1" applyFill="1" applyBorder="1" applyAlignment="1">
      <alignment horizontal="center" vertical="center"/>
    </xf>
    <xf numFmtId="0" fontId="26" fillId="2" borderId="8" xfId="2" applyFont="1" applyFill="1" applyBorder="1" applyAlignment="1">
      <alignment horizontal="center" vertical="center"/>
    </xf>
    <xf numFmtId="0" fontId="26" fillId="2" borderId="9" xfId="2" applyFont="1" applyFill="1" applyBorder="1" applyAlignment="1">
      <alignment horizontal="center" vertical="center"/>
    </xf>
    <xf numFmtId="0" fontId="41" fillId="3" borderId="4" xfId="0" applyFont="1" applyFill="1" applyBorder="1" applyAlignment="1">
      <alignment horizontal="center" vertical="center"/>
    </xf>
    <xf numFmtId="0" fontId="41" fillId="3" borderId="8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center" vertical="center"/>
    </xf>
    <xf numFmtId="0" fontId="27" fillId="2" borderId="22" xfId="0" applyFont="1" applyFill="1" applyBorder="1"/>
    <xf numFmtId="20" fontId="39" fillId="2" borderId="22" xfId="0" applyNumberFormat="1" applyFont="1" applyFill="1" applyBorder="1" applyAlignment="1">
      <alignment horizontal="center" vertical="center"/>
    </xf>
    <xf numFmtId="0" fontId="26" fillId="3" borderId="22" xfId="2" applyFont="1" applyFill="1" applyBorder="1" applyAlignment="1">
      <alignment horizontal="left"/>
    </xf>
    <xf numFmtId="0" fontId="6" fillId="3" borderId="22" xfId="0" applyFont="1" applyFill="1" applyBorder="1"/>
    <xf numFmtId="20" fontId="26" fillId="2" borderId="7" xfId="0" applyNumberFormat="1" applyFont="1" applyFill="1" applyBorder="1" applyAlignment="1">
      <alignment horizontal="center" vertical="center"/>
    </xf>
    <xf numFmtId="0" fontId="13" fillId="3" borderId="0" xfId="0" applyFont="1" applyFill="1"/>
    <xf numFmtId="0" fontId="20" fillId="3" borderId="8" xfId="2" applyFont="1" applyFill="1" applyBorder="1"/>
    <xf numFmtId="0" fontId="56" fillId="3" borderId="8" xfId="0" applyFont="1" applyFill="1" applyBorder="1" applyAlignment="1">
      <alignment horizontal="center" vertical="center"/>
    </xf>
    <xf numFmtId="0" fontId="52" fillId="6" borderId="8" xfId="2" applyFont="1" applyFill="1" applyBorder="1"/>
    <xf numFmtId="164" fontId="52" fillId="6" borderId="8" xfId="0" applyNumberFormat="1" applyFont="1" applyFill="1" applyBorder="1" applyAlignment="1">
      <alignment horizontal="center" vertical="center"/>
    </xf>
    <xf numFmtId="164" fontId="51" fillId="6" borderId="8" xfId="2" applyNumberFormat="1" applyFont="1" applyFill="1" applyBorder="1" applyAlignment="1">
      <alignment horizontal="center" vertical="center"/>
    </xf>
    <xf numFmtId="0" fontId="52" fillId="6" borderId="8" xfId="2" applyFont="1" applyFill="1" applyBorder="1" applyAlignment="1">
      <alignment horizontal="center" vertical="center"/>
    </xf>
    <xf numFmtId="0" fontId="57" fillId="3" borderId="14" xfId="2" applyFont="1" applyFill="1" applyBorder="1"/>
    <xf numFmtId="0" fontId="17" fillId="3" borderId="0" xfId="2" applyFont="1" applyFill="1" applyBorder="1"/>
    <xf numFmtId="0" fontId="26" fillId="3" borderId="0" xfId="2" applyFont="1" applyFill="1" applyBorder="1" applyAlignment="1">
      <alignment horizontal="left"/>
    </xf>
    <xf numFmtId="0" fontId="26" fillId="3" borderId="22" xfId="0" applyFont="1" applyFill="1" applyBorder="1"/>
    <xf numFmtId="0" fontId="17" fillId="3" borderId="22" xfId="2" applyFont="1" applyFill="1" applyBorder="1"/>
    <xf numFmtId="0" fontId="13" fillId="3" borderId="22" xfId="2" applyFont="1" applyFill="1" applyBorder="1" applyAlignment="1">
      <alignment horizontal="left"/>
    </xf>
    <xf numFmtId="0" fontId="38" fillId="3" borderId="14" xfId="2" applyFont="1" applyFill="1" applyBorder="1" applyAlignment="1">
      <alignment horizontal="left"/>
    </xf>
    <xf numFmtId="0" fontId="58" fillId="3" borderId="14" xfId="2" applyFont="1" applyFill="1" applyBorder="1" applyAlignment="1">
      <alignment horizontal="left"/>
    </xf>
    <xf numFmtId="0" fontId="47" fillId="3" borderId="22" xfId="2" applyFont="1" applyFill="1" applyBorder="1"/>
    <xf numFmtId="0" fontId="17" fillId="3" borderId="22" xfId="2" applyFont="1" applyFill="1" applyBorder="1" applyAlignment="1">
      <alignment horizontal="left"/>
    </xf>
    <xf numFmtId="0" fontId="47" fillId="3" borderId="7" xfId="2" applyFont="1" applyFill="1" applyBorder="1"/>
    <xf numFmtId="164" fontId="17" fillId="3" borderId="22" xfId="2" applyNumberFormat="1" applyFont="1" applyFill="1" applyBorder="1" applyAlignment="1">
      <alignment horizontal="left"/>
    </xf>
    <xf numFmtId="0" fontId="47" fillId="3" borderId="7" xfId="2" applyFont="1" applyFill="1" applyBorder="1" applyAlignment="1">
      <alignment horizontal="left"/>
    </xf>
    <xf numFmtId="0" fontId="59" fillId="3" borderId="14" xfId="2" applyFont="1" applyFill="1" applyBorder="1"/>
    <xf numFmtId="0" fontId="17" fillId="3" borderId="22" xfId="0" applyFont="1" applyFill="1" applyBorder="1"/>
    <xf numFmtId="20" fontId="20" fillId="3" borderId="8" xfId="2" applyNumberFormat="1" applyFont="1" applyFill="1" applyBorder="1" applyAlignment="1">
      <alignment horizontal="center" vertical="center"/>
    </xf>
    <xf numFmtId="0" fontId="20" fillId="3" borderId="8" xfId="2" applyFont="1" applyFill="1" applyBorder="1" applyAlignment="1">
      <alignment horizontal="center" vertical="center"/>
    </xf>
    <xf numFmtId="0" fontId="17" fillId="3" borderId="14" xfId="2" applyFont="1" applyFill="1" applyBorder="1" applyAlignment="1">
      <alignment horizontal="left"/>
    </xf>
    <xf numFmtId="0" fontId="41" fillId="3" borderId="22" xfId="0" applyFont="1" applyFill="1" applyBorder="1" applyAlignment="1">
      <alignment horizontal="center" vertical="center"/>
    </xf>
    <xf numFmtId="0" fontId="41" fillId="3" borderId="22" xfId="2" applyFont="1" applyFill="1" applyBorder="1" applyAlignment="1">
      <alignment horizontal="left"/>
    </xf>
    <xf numFmtId="0" fontId="17" fillId="3" borderId="22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left"/>
    </xf>
    <xf numFmtId="0" fontId="26" fillId="3" borderId="22" xfId="2" applyFont="1" applyFill="1" applyBorder="1" applyAlignment="1">
      <alignment horizontal="left" vertical="center"/>
    </xf>
    <xf numFmtId="0" fontId="30" fillId="5" borderId="22" xfId="0" applyFont="1" applyFill="1" applyBorder="1" applyAlignment="1">
      <alignment horizontal="left" vertical="center"/>
    </xf>
    <xf numFmtId="0" fontId="20" fillId="3" borderId="4" xfId="2" applyFont="1" applyFill="1" applyBorder="1"/>
    <xf numFmtId="20" fontId="20" fillId="3" borderId="4" xfId="2" applyNumberFormat="1" applyFont="1" applyFill="1" applyBorder="1" applyAlignment="1">
      <alignment horizontal="center" vertical="center"/>
    </xf>
    <xf numFmtId="0" fontId="20" fillId="3" borderId="4" xfId="2" applyFont="1" applyFill="1" applyBorder="1" applyAlignment="1">
      <alignment horizontal="center" vertical="center"/>
    </xf>
    <xf numFmtId="164" fontId="17" fillId="3" borderId="3" xfId="2" applyNumberFormat="1" applyFont="1" applyFill="1" applyBorder="1" applyAlignment="1">
      <alignment horizontal="left"/>
    </xf>
    <xf numFmtId="0" fontId="17" fillId="3" borderId="8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left" vertical="center"/>
    </xf>
    <xf numFmtId="20" fontId="20" fillId="3" borderId="8" xfId="0" applyNumberFormat="1" applyFont="1" applyFill="1" applyBorder="1" applyAlignment="1">
      <alignment horizontal="center"/>
    </xf>
    <xf numFmtId="0" fontId="20" fillId="3" borderId="8" xfId="0" applyFont="1" applyFill="1" applyBorder="1" applyAlignment="1">
      <alignment horizontal="center" vertical="center"/>
    </xf>
    <xf numFmtId="0" fontId="46" fillId="3" borderId="8" xfId="0" applyFont="1" applyFill="1" applyBorder="1"/>
    <xf numFmtId="0" fontId="17" fillId="3" borderId="5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left" vertical="center"/>
    </xf>
    <xf numFmtId="20" fontId="20" fillId="3" borderId="9" xfId="0" applyNumberFormat="1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6" fillId="3" borderId="14" xfId="0" applyFont="1" applyFill="1" applyBorder="1" applyAlignment="1">
      <alignment horizontal="center" vertical="center"/>
    </xf>
    <xf numFmtId="0" fontId="26" fillId="3" borderId="15" xfId="0" applyFont="1" applyFill="1" applyBorder="1" applyAlignment="1">
      <alignment horizontal="center" vertical="center"/>
    </xf>
    <xf numFmtId="0" fontId="28" fillId="2" borderId="8" xfId="2" applyFont="1" applyFill="1" applyBorder="1"/>
    <xf numFmtId="0" fontId="52" fillId="6" borderId="8" xfId="0" applyFont="1" applyFill="1" applyBorder="1"/>
    <xf numFmtId="0" fontId="52" fillId="6" borderId="7" xfId="0" applyFont="1" applyFill="1" applyBorder="1"/>
    <xf numFmtId="20" fontId="52" fillId="6" borderId="7" xfId="0" applyNumberFormat="1" applyFont="1" applyFill="1" applyBorder="1" applyAlignment="1">
      <alignment horizontal="center" vertical="center"/>
    </xf>
    <xf numFmtId="20" fontId="52" fillId="6" borderId="22" xfId="0" applyNumberFormat="1" applyFont="1" applyFill="1" applyBorder="1" applyAlignment="1">
      <alignment horizontal="center" vertical="center"/>
    </xf>
    <xf numFmtId="20" fontId="51" fillId="6" borderId="7" xfId="0" applyNumberFormat="1" applyFont="1" applyFill="1" applyBorder="1" applyAlignment="1">
      <alignment horizontal="center" vertical="center"/>
    </xf>
    <xf numFmtId="20" fontId="51" fillId="6" borderId="22" xfId="0" applyNumberFormat="1" applyFont="1" applyFill="1" applyBorder="1" applyAlignment="1">
      <alignment horizontal="center" vertical="center"/>
    </xf>
    <xf numFmtId="20" fontId="52" fillId="6" borderId="0" xfId="0" applyNumberFormat="1" applyFont="1" applyFill="1" applyAlignment="1">
      <alignment horizontal="center" vertical="center"/>
    </xf>
    <xf numFmtId="0" fontId="44" fillId="3" borderId="14" xfId="2" applyFont="1" applyFill="1" applyBorder="1"/>
    <xf numFmtId="0" fontId="61" fillId="3" borderId="8" xfId="0" applyFont="1" applyFill="1" applyBorder="1" applyAlignment="1">
      <alignment horizontal="center" vertical="center"/>
    </xf>
    <xf numFmtId="0" fontId="62" fillId="2" borderId="8" xfId="2" applyFont="1" applyFill="1" applyBorder="1"/>
    <xf numFmtId="20" fontId="62" fillId="2" borderId="8" xfId="2" applyNumberFormat="1" applyFont="1" applyFill="1" applyBorder="1" applyAlignment="1">
      <alignment horizontal="center" vertical="center"/>
    </xf>
    <xf numFmtId="0" fontId="63" fillId="3" borderId="14" xfId="2" applyFont="1" applyFill="1" applyBorder="1"/>
    <xf numFmtId="0" fontId="62" fillId="2" borderId="8" xfId="0" applyFont="1" applyFill="1" applyBorder="1" applyAlignment="1">
      <alignment horizontal="center" vertical="center"/>
    </xf>
    <xf numFmtId="0" fontId="51" fillId="3" borderId="8" xfId="0" applyFont="1" applyFill="1" applyBorder="1" applyAlignment="1">
      <alignment horizontal="center" vertical="center"/>
    </xf>
    <xf numFmtId="0" fontId="64" fillId="3" borderId="14" xfId="2" applyFont="1" applyFill="1" applyBorder="1"/>
    <xf numFmtId="20" fontId="52" fillId="6" borderId="8" xfId="2" applyNumberFormat="1" applyFont="1" applyFill="1" applyBorder="1" applyAlignment="1">
      <alignment horizontal="center" vertical="center"/>
    </xf>
    <xf numFmtId="0" fontId="60" fillId="3" borderId="14" xfId="2" applyFont="1" applyFill="1" applyBorder="1"/>
    <xf numFmtId="0" fontId="60" fillId="3" borderId="7" xfId="2" applyFont="1" applyFill="1" applyBorder="1" applyAlignment="1">
      <alignment horizontal="left"/>
    </xf>
  </cellXfs>
  <cellStyles count="1500">
    <cellStyle name="Normal" xfId="0" builtinId="0"/>
    <cellStyle name="Normal 10 2" xfId="7" xr:uid="{2F0E6E60-B140-418D-AC13-B5F24CDAF05F}"/>
    <cellStyle name="Normal 10 2 2" xfId="13" xr:uid="{C45E55E8-4C86-4AFA-AF35-B58717D9A29D}"/>
    <cellStyle name="Normal 10 2 2 2" xfId="105" xr:uid="{29BDE5AB-6D2A-4A2B-8E9D-A88A65B18853}"/>
    <cellStyle name="Normal 10 2 2 2 2" xfId="268" xr:uid="{44B2DA2A-A058-4EE2-BD3A-B22E072BBBB1}"/>
    <cellStyle name="Normal 10 2 2 2 2 2" xfId="642" xr:uid="{2BA42E7F-3AF9-41A3-8B8B-368B69646417}"/>
    <cellStyle name="Normal 10 2 2 2 2 2 2" xfId="1390" xr:uid="{FA244754-0B12-4301-A07B-1EFC6AB0F247}"/>
    <cellStyle name="Normal 10 2 2 2 2 3" xfId="1016" xr:uid="{A39DA065-5FC8-468B-A1F7-E72C31C5E468}"/>
    <cellStyle name="Normal 10 2 2 2 3" xfId="479" xr:uid="{6FC94DB5-2655-4666-9A8D-ED3ACFEE7980}"/>
    <cellStyle name="Normal 10 2 2 2 3 2" xfId="1227" xr:uid="{D6CF34F3-8DBA-4E84-B127-831C02D4EAB3}"/>
    <cellStyle name="Normal 10 2 2 2 4" xfId="853" xr:uid="{EE3CA400-ECA2-4B08-B3DE-27F1EEA4A6CF}"/>
    <cellStyle name="Normal 10 2 2 3" xfId="151" xr:uid="{F376AFFD-6CB4-4AE1-B0AB-459303C52C44}"/>
    <cellStyle name="Normal 10 2 2 3 2" xfId="314" xr:uid="{95E0824C-D232-4F80-8A0E-9E41E4EB7084}"/>
    <cellStyle name="Normal 10 2 2 3 2 2" xfId="688" xr:uid="{7C66218D-5882-4C4E-ADC6-DF119916558A}"/>
    <cellStyle name="Normal 10 2 2 3 2 2 2" xfId="1436" xr:uid="{1995CD32-0EA7-4801-9DFE-73B1894EDB8C}"/>
    <cellStyle name="Normal 10 2 2 3 2 3" xfId="1062" xr:uid="{73D38B87-6A5B-45C1-8364-F530AA817474}"/>
    <cellStyle name="Normal 10 2 2 3 3" xfId="525" xr:uid="{CCCDDC69-931B-4CE0-BD00-37BDC839D9A2}"/>
    <cellStyle name="Normal 10 2 2 3 3 2" xfId="1273" xr:uid="{BD0EB9DF-91DA-451E-ACA1-7FD5674BFA87}"/>
    <cellStyle name="Normal 10 2 2 3 4" xfId="899" xr:uid="{761C180E-75E9-4107-AEB6-78D8D490D3BF}"/>
    <cellStyle name="Normal 10 2 2 4" xfId="199" xr:uid="{322B229F-847E-413C-A304-9A47BF4810EE}"/>
    <cellStyle name="Normal 10 2 2 4 2" xfId="573" xr:uid="{817695A1-79C6-4AD4-B1B9-780E6347D9AF}"/>
    <cellStyle name="Normal 10 2 2 4 2 2" xfId="1321" xr:uid="{AE29CF26-30A5-436B-AFF0-0526A042730E}"/>
    <cellStyle name="Normal 10 2 2 4 3" xfId="947" xr:uid="{D7F727AD-13B0-4C8F-86A2-BF1B1B112EC8}"/>
    <cellStyle name="Normal 10 2 2 5" xfId="338" xr:uid="{5BDBA422-3169-44B7-9A89-D640878889F4}"/>
    <cellStyle name="Normal 10 2 2 5 2" xfId="712" xr:uid="{661A7600-CBB4-4796-995B-9FB6FC662B15}"/>
    <cellStyle name="Normal 10 2 2 5 2 2" xfId="1460" xr:uid="{83A180B5-9513-413A-B4E1-1F6E9C4A9EB0}"/>
    <cellStyle name="Normal 10 2 2 5 3" xfId="1086" xr:uid="{E66CE13C-CBEE-4BAC-BE41-FE2FB97D67BD}"/>
    <cellStyle name="Normal 10 2 2 6" xfId="358" xr:uid="{CA23EE20-B2F1-40F3-868D-73F6C1735E6F}"/>
    <cellStyle name="Normal 10 2 2 6 2" xfId="732" xr:uid="{0A0923A8-2DE8-40A0-A3AE-9D39ADFBB7E1}"/>
    <cellStyle name="Normal 10 2 2 6 2 2" xfId="1480" xr:uid="{F3AF5DD8-BBC2-487B-98A4-0C3304295D5D}"/>
    <cellStyle name="Normal 10 2 2 6 3" xfId="1106" xr:uid="{CB0DB1AC-BC92-40D5-A362-8D10C971FB99}"/>
    <cellStyle name="Normal 10 2 2 7" xfId="387" xr:uid="{82B792C1-87A9-42F5-9937-9DDDB372741A}"/>
    <cellStyle name="Normal 10 2 2 7 2" xfId="1135" xr:uid="{8563C9E5-547E-40B5-A3C9-BDAF37373BED}"/>
    <cellStyle name="Normal 10 2 2 8" xfId="761" xr:uid="{6BFF501E-1D13-4918-8371-E0FAFB7E538C}"/>
    <cellStyle name="Normal 10 2 3" xfId="103" xr:uid="{8A6C36B8-46B2-4C2F-ACF6-BB2C6889E29A}"/>
    <cellStyle name="Normal 10 2 3 2" xfId="266" xr:uid="{26D3E603-FB64-4B63-AA05-5AA8111DFDD4}"/>
    <cellStyle name="Normal 10 2 3 2 2" xfId="640" xr:uid="{16BD7E33-3546-41DC-BFA4-02488D489A0D}"/>
    <cellStyle name="Normal 10 2 3 2 2 2" xfId="1388" xr:uid="{4FF66043-7C82-48C1-BBDA-74F1D60153AF}"/>
    <cellStyle name="Normal 10 2 3 2 3" xfId="1014" xr:uid="{9C87090D-98C3-4B85-8D59-592458DF2DDF}"/>
    <cellStyle name="Normal 10 2 3 3" xfId="477" xr:uid="{939738FA-C76D-4269-A220-4A15F2499151}"/>
    <cellStyle name="Normal 10 2 3 3 2" xfId="1225" xr:uid="{1AC2D613-8A80-4399-B8D2-D1FE291BBCCD}"/>
    <cellStyle name="Normal 10 2 3 4" xfId="851" xr:uid="{8A8580E7-2BC4-4B8A-8627-D83FB6DA3D12}"/>
    <cellStyle name="Normal 10 2 4" xfId="145" xr:uid="{9E2B9084-1065-49E5-B9C8-9FDB429D3AE9}"/>
    <cellStyle name="Normal 10 2 4 2" xfId="308" xr:uid="{1793FA96-D0DE-4931-B154-6E45E44973E0}"/>
    <cellStyle name="Normal 10 2 4 2 2" xfId="682" xr:uid="{46D4D5AE-A5A7-4A57-B6FD-294EE28E65C0}"/>
    <cellStyle name="Normal 10 2 4 2 2 2" xfId="1430" xr:uid="{0BEDB8E8-0B8B-4DF8-9D3C-BD2576A8189F}"/>
    <cellStyle name="Normal 10 2 4 2 3" xfId="1056" xr:uid="{0C737792-B8FE-4191-8AE6-E3D63B3738EB}"/>
    <cellStyle name="Normal 10 2 4 3" xfId="519" xr:uid="{296CCD7D-A64E-474E-BA8A-7B813E2C1C91}"/>
    <cellStyle name="Normal 10 2 4 3 2" xfId="1267" xr:uid="{9A8C91C4-80B6-43DC-9348-11223E816987}"/>
    <cellStyle name="Normal 10 2 4 4" xfId="893" xr:uid="{919A3CFD-EB19-4D19-8F84-CE464D698A9E}"/>
    <cellStyle name="Normal 10 2 5" xfId="197" xr:uid="{5424666C-650F-4CD6-8090-E6AC6FE0B223}"/>
    <cellStyle name="Normal 10 2 5 2" xfId="571" xr:uid="{7754D37C-23E7-4769-92F4-49222EF606B8}"/>
    <cellStyle name="Normal 10 2 5 2 2" xfId="1319" xr:uid="{B406B4B8-4893-435C-AAC9-0563820367E2}"/>
    <cellStyle name="Normal 10 2 5 3" xfId="945" xr:uid="{E4CC37FF-69B7-4AA4-9A50-3C721D8B40F7}"/>
    <cellStyle name="Normal 10 2 6" xfId="331" xr:uid="{DD4843C8-2A38-404B-8BE0-316259C563D3}"/>
    <cellStyle name="Normal 10 2 6 2" xfId="705" xr:uid="{7696B67A-8132-45B5-BD23-8F8176A533FF}"/>
    <cellStyle name="Normal 10 2 6 2 2" xfId="1453" xr:uid="{2CCD0539-E7BB-49B9-96F4-EF885704BCD3}"/>
    <cellStyle name="Normal 10 2 6 3" xfId="1079" xr:uid="{CEB6B6E5-60EE-4F82-8EEF-5BCE08CF6505}"/>
    <cellStyle name="Normal 10 2 7" xfId="352" xr:uid="{139E9510-2EA4-4E32-94BF-3135D9421670}"/>
    <cellStyle name="Normal 10 2 7 2" xfId="726" xr:uid="{B223AA74-9B5C-4C67-AF17-637CD32A1151}"/>
    <cellStyle name="Normal 10 2 7 2 2" xfId="1474" xr:uid="{4AF7D385-74DC-4451-AFF6-91924B00732B}"/>
    <cellStyle name="Normal 10 2 7 3" xfId="1100" xr:uid="{C2058B43-C123-4C27-ABB8-B56232E8DFF8}"/>
    <cellStyle name="Normal 10 2 8" xfId="381" xr:uid="{AE66C623-5A8F-4316-83DD-027BF98FDA08}"/>
    <cellStyle name="Normal 10 2 8 2" xfId="1129" xr:uid="{CB9FF228-E09F-47B1-AE98-0EBFBDD4DE89}"/>
    <cellStyle name="Normal 10 2 9" xfId="755" xr:uid="{739A5BC9-C62E-4F7D-A611-A7E683B50F33}"/>
    <cellStyle name="Normal 11" xfId="1" xr:uid="{00000000-0005-0000-0000-000001000000}"/>
    <cellStyle name="Normal 11 10" xfId="24" xr:uid="{7132876A-8271-4C41-A6E4-185425AEBEA7}"/>
    <cellStyle name="Normal 11 10 2" xfId="109" xr:uid="{750CDD6A-1F0B-4FBF-A214-8EF8D1EAFA8C}"/>
    <cellStyle name="Normal 11 10 2 2" xfId="272" xr:uid="{07424158-B322-4ACB-AE79-FEF8A8C4F7E5}"/>
    <cellStyle name="Normal 11 10 2 2 2" xfId="646" xr:uid="{55DE889F-23B8-4546-8779-3C66E3FB3AF3}"/>
    <cellStyle name="Normal 11 10 2 2 2 2" xfId="1394" xr:uid="{B82749E9-8F0F-4952-97F5-99D0CFFBCAB1}"/>
    <cellStyle name="Normal 11 10 2 2 3" xfId="1020" xr:uid="{B1331A40-CA8E-454E-8D00-DE19B24509D3}"/>
    <cellStyle name="Normal 11 10 2 3" xfId="483" xr:uid="{295EF2BF-F6B2-49F2-A8F4-4F24FCF2A653}"/>
    <cellStyle name="Normal 11 10 2 3 2" xfId="1231" xr:uid="{C7E9C3F8-72C1-4CD1-B705-DD8286438E9C}"/>
    <cellStyle name="Normal 11 10 2 4" xfId="857" xr:uid="{A5CC1786-4455-4FB4-B013-AA7D26978B4D}"/>
    <cellStyle name="Normal 11 10 3" xfId="162" xr:uid="{4F0758E8-0759-4FEE-852A-C374DBAB8368}"/>
    <cellStyle name="Normal 11 10 3 2" xfId="325" xr:uid="{8AB5BCD7-B464-4A28-A3A6-55B6EBBD97D3}"/>
    <cellStyle name="Normal 11 10 3 2 2" xfId="699" xr:uid="{27421AF6-201B-40FA-8DB8-9EFF9AC0D85A}"/>
    <cellStyle name="Normal 11 10 3 2 2 2" xfId="1447" xr:uid="{D5ADD493-0AD3-4525-987F-4C281005EE02}"/>
    <cellStyle name="Normal 11 10 3 2 3" xfId="1073" xr:uid="{8FCF875D-5F9B-4E0C-8AD8-B348A9AF273F}"/>
    <cellStyle name="Normal 11 10 3 3" xfId="536" xr:uid="{64B31526-C0EE-4584-B091-E6964147A93C}"/>
    <cellStyle name="Normal 11 10 3 3 2" xfId="1284" xr:uid="{C4792CC8-A047-4B58-B1B3-A2DC8019B3C1}"/>
    <cellStyle name="Normal 11 10 3 4" xfId="910" xr:uid="{F6A94830-D085-4CE5-AFB3-FA2B61B7CBB1}"/>
    <cellStyle name="Normal 11 10 4" xfId="203" xr:uid="{750A79B5-AD01-4836-95AC-A123F5762B5F}"/>
    <cellStyle name="Normal 11 10 4 2" xfId="577" xr:uid="{72F83E9B-91AC-4B70-81E3-F71B40E148BE}"/>
    <cellStyle name="Normal 11 10 4 2 2" xfId="1325" xr:uid="{D3E0D3E3-326C-45A3-9342-7547B92CC9D5}"/>
    <cellStyle name="Normal 11 10 4 3" xfId="951" xr:uid="{4A91B87C-72CF-4C9B-9CD9-C6598F7CF600}"/>
    <cellStyle name="Normal 11 10 5" xfId="349" xr:uid="{D9636952-34DD-4FFA-9B5A-77BCF475264C}"/>
    <cellStyle name="Normal 11 10 5 2" xfId="723" xr:uid="{74549029-1B69-41F1-BA0E-3E38D48CD009}"/>
    <cellStyle name="Normal 11 10 5 2 2" xfId="1471" xr:uid="{2D2701C4-1DB7-4A93-A39C-A76B42B67D3C}"/>
    <cellStyle name="Normal 11 10 5 3" xfId="1097" xr:uid="{C3780E6E-4AA7-498F-B581-39CC7CF8FE07}"/>
    <cellStyle name="Normal 11 10 6" xfId="360" xr:uid="{EBD35EFB-6A95-4A86-BF73-CEAE9BC27D34}"/>
    <cellStyle name="Normal 11 10 6 2" xfId="734" xr:uid="{9669A8D6-CF27-4E88-B187-82D74822986D}"/>
    <cellStyle name="Normal 11 10 6 2 2" xfId="1482" xr:uid="{B7EED11E-BC47-4EDC-9ED0-42DC9F23F8B9}"/>
    <cellStyle name="Normal 11 10 6 3" xfId="1108" xr:uid="{61F3568E-CB0C-4377-82A9-F81D720BA6FC}"/>
    <cellStyle name="Normal 11 10 7" xfId="398" xr:uid="{A93990B4-BC27-449B-93AB-2EF666278ED1}"/>
    <cellStyle name="Normal 11 10 7 2" xfId="1146" xr:uid="{648A12E4-C965-43FE-8D05-84A80E52D8A6}"/>
    <cellStyle name="Normal 11 10 8" xfId="772" xr:uid="{F1DD9C21-B250-4AF5-ABF6-20D1B4399380}"/>
    <cellStyle name="Normal 11 11" xfId="112" xr:uid="{C065EFFE-F9BC-412F-9AAA-52EB7D01FD56}"/>
    <cellStyle name="Normal 11 11 2" xfId="275" xr:uid="{420854DD-DC7D-46D2-A91F-DC3D185B5B82}"/>
    <cellStyle name="Normal 11 11 2 2" xfId="649" xr:uid="{0567AEE1-968B-456F-805B-882D29AAC218}"/>
    <cellStyle name="Normal 11 11 2 2 2" xfId="1397" xr:uid="{915FBBDF-7D42-41E6-9F43-75C35606AFE2}"/>
    <cellStyle name="Normal 11 11 2 3" xfId="1023" xr:uid="{DA605128-3F98-4802-833F-F6D9BD4EFAB0}"/>
    <cellStyle name="Normal 11 11 3" xfId="486" xr:uid="{9BA9BC3D-4351-4A7A-BFB6-A13E072B22A1}"/>
    <cellStyle name="Normal 11 11 3 2" xfId="1234" xr:uid="{B0B4DE47-B469-45E4-8169-EA0C3BFC996B}"/>
    <cellStyle name="Normal 11 11 4" xfId="860" xr:uid="{8BD18C97-4688-4854-8AD3-39FBE53FFE0E}"/>
    <cellStyle name="Normal 11 12" xfId="71" xr:uid="{C1E51CFF-0E8E-481A-941E-4E0F63D1E9E8}"/>
    <cellStyle name="Normal 11 12 2" xfId="234" xr:uid="{09129BA5-2DCC-4D98-99A6-94253114D335}"/>
    <cellStyle name="Normal 11 12 2 2" xfId="608" xr:uid="{E0F3E645-7408-4463-AE23-46C3412B22CC}"/>
    <cellStyle name="Normal 11 12 2 2 2" xfId="1356" xr:uid="{7D276FE8-2F1E-4B56-B707-53114407A072}"/>
    <cellStyle name="Normal 11 12 2 3" xfId="982" xr:uid="{10F58EC8-80AA-4F97-8BF3-A3D62D7968E9}"/>
    <cellStyle name="Normal 11 12 3" xfId="445" xr:uid="{81F1F8C8-4D6D-4D3B-A1B1-B896DCD68466}"/>
    <cellStyle name="Normal 11 12 3 2" xfId="1193" xr:uid="{57D49FA1-12D0-4B66-A009-34193B972971}"/>
    <cellStyle name="Normal 11 12 4" xfId="819" xr:uid="{9F8D2E9C-1C51-42F6-96E9-D9214A76634D}"/>
    <cellStyle name="Normal 11 13" xfId="43" xr:uid="{48045151-86EE-45B7-BF75-D2FECA496840}"/>
    <cellStyle name="Normal 11 13 2" xfId="206" xr:uid="{10CC5771-73D9-435D-838D-88A9CD6C5A58}"/>
    <cellStyle name="Normal 11 13 2 2" xfId="580" xr:uid="{6CEAB2BB-3641-43A5-8670-C70C69BCB1A1}"/>
    <cellStyle name="Normal 11 13 2 2 2" xfId="1328" xr:uid="{1DCB850B-3BB2-4118-A1EB-9C7924B5BE89}"/>
    <cellStyle name="Normal 11 13 2 3" xfId="954" xr:uid="{918A50CD-1CA9-4634-ACE6-016A0B7A92BE}"/>
    <cellStyle name="Normal 11 13 3" xfId="417" xr:uid="{FC204E29-2DE3-43A2-871E-9F333ED0C6F0}"/>
    <cellStyle name="Normal 11 13 3 2" xfId="1165" xr:uid="{31112D2A-1F8E-4B02-B633-5354068939D7}"/>
    <cellStyle name="Normal 11 13 4" xfId="791" xr:uid="{869F2526-37DD-44EE-BF9C-48514C0E9B8D}"/>
    <cellStyle name="Normal 11 14" xfId="140" xr:uid="{303F7895-661E-4082-AE72-ADCD1BEBE291}"/>
    <cellStyle name="Normal 11 14 2" xfId="303" xr:uid="{C78DAD72-DBDE-4C60-A6D8-0666D45735E4}"/>
    <cellStyle name="Normal 11 14 2 2" xfId="677" xr:uid="{82ECF6BB-F78B-4A28-AB6E-29EC2508AEDA}"/>
    <cellStyle name="Normal 11 14 2 2 2" xfId="1425" xr:uid="{9433203B-D747-49F4-B628-8243F0A15120}"/>
    <cellStyle name="Normal 11 14 2 3" xfId="1051" xr:uid="{3DFF569F-83B9-489A-8987-38318EE20D92}"/>
    <cellStyle name="Normal 11 14 3" xfId="514" xr:uid="{678F2B5E-9E14-4E10-9C20-9979B7AA732D}"/>
    <cellStyle name="Normal 11 14 3 2" xfId="1262" xr:uid="{6988093A-0DB0-401D-80CC-ACC5FC43F6FB}"/>
    <cellStyle name="Normal 11 14 4" xfId="888" xr:uid="{925DFD82-E0F4-4E85-8381-54AE41EBB787}"/>
    <cellStyle name="Normal 11 15" xfId="165" xr:uid="{9A98D414-3690-412F-AFE6-D45CD58626BE}"/>
    <cellStyle name="Normal 11 15 2" xfId="539" xr:uid="{FC982921-BECD-4886-85DA-E937CDAE6B69}"/>
    <cellStyle name="Normal 11 15 2 2" xfId="1287" xr:uid="{F4A140F5-27FD-4484-A849-A2CAEBE5A8B9}"/>
    <cellStyle name="Normal 11 15 3" xfId="913" xr:uid="{4F4BDA9F-85B8-41B9-9ACA-D866AB7F83F8}"/>
    <cellStyle name="Normal 11 16" xfId="328" xr:uid="{8360B09D-BAB4-411F-BA2A-7544236F38EB}"/>
    <cellStyle name="Normal 11 16 2" xfId="702" xr:uid="{1C99DFB1-81DE-4EE7-A2A4-0D6990D2E1B0}"/>
    <cellStyle name="Normal 11 16 2 2" xfId="1450" xr:uid="{C7199EA7-8801-4D6B-A233-0C93BDEE503F}"/>
    <cellStyle name="Normal 11 16 3" xfId="1076" xr:uid="{A2082B6F-EAC4-4A99-9A72-C2E0F296E95D}"/>
    <cellStyle name="Normal 11 17" xfId="359" xr:uid="{0416AC8E-185F-466D-B761-E5537E402D3C}"/>
    <cellStyle name="Normal 11 17 2" xfId="733" xr:uid="{90FF4E7B-836C-4C94-9D78-6B43A183A2FA}"/>
    <cellStyle name="Normal 11 17 2 2" xfId="1481" xr:uid="{EF74B338-198F-4F60-B8C4-3E42CA722A96}"/>
    <cellStyle name="Normal 11 17 3" xfId="1107" xr:uid="{4E2BD92B-D567-4678-98A9-1684EB29D464}"/>
    <cellStyle name="Normal 11 18" xfId="376" xr:uid="{527A893D-8EC5-4A82-BA0B-3CE9FA067E62}"/>
    <cellStyle name="Normal 11 18 2" xfId="1124" xr:uid="{A81DEBB4-7D40-44CA-8633-59C237863F85}"/>
    <cellStyle name="Normal 11 19" xfId="750" xr:uid="{FAD054EB-2E88-4269-82F5-ADF280495A00}"/>
    <cellStyle name="Normal 11 2" xfId="3" xr:uid="{49EA9C5F-0E4D-4A9B-AE11-EA595BA2D9CD}"/>
    <cellStyle name="Normal 11 2 10" xfId="72" xr:uid="{1186D027-F0A3-4802-931B-6C59B85F9838}"/>
    <cellStyle name="Normal 11 2 10 2" xfId="235" xr:uid="{580A30F4-C1F9-47D3-BAFA-7ADD13496E52}"/>
    <cellStyle name="Normal 11 2 10 2 2" xfId="609" xr:uid="{31AF0588-4648-4C5C-813E-2BFB0FFA8484}"/>
    <cellStyle name="Normal 11 2 10 2 2 2" xfId="1357" xr:uid="{314685DC-77AE-4227-A342-ED3B30AAEB8A}"/>
    <cellStyle name="Normal 11 2 10 2 3" xfId="983" xr:uid="{B5574EE6-2EBC-41BF-99C7-12ED248261D6}"/>
    <cellStyle name="Normal 11 2 10 3" xfId="446" xr:uid="{D6686101-3821-40F5-869C-5C7E24F8DCE1}"/>
    <cellStyle name="Normal 11 2 10 3 2" xfId="1194" xr:uid="{1C8F12D8-3A90-448C-A769-9153B50BF9E5}"/>
    <cellStyle name="Normal 11 2 10 4" xfId="820" xr:uid="{2DA32985-5EC6-4A7F-B0B8-E5A416D24044}"/>
    <cellStyle name="Normal 11 2 11" xfId="44" xr:uid="{AFE7BCDF-D446-4CDB-96DE-0057FD468278}"/>
    <cellStyle name="Normal 11 2 11 2" xfId="207" xr:uid="{8D121ABD-C2E1-4CC2-8C34-AF71CE1DDFBF}"/>
    <cellStyle name="Normal 11 2 11 2 2" xfId="581" xr:uid="{729AA11B-0560-4658-BB00-A6DA999E1BFD}"/>
    <cellStyle name="Normal 11 2 11 2 2 2" xfId="1329" xr:uid="{E51565E3-1C9A-42DE-A7CF-DB82393992C0}"/>
    <cellStyle name="Normal 11 2 11 2 3" xfId="955" xr:uid="{39CBB56D-3791-4B50-ABCF-00A57E19ACE2}"/>
    <cellStyle name="Normal 11 2 11 3" xfId="418" xr:uid="{2B933E6C-BD23-4D35-8EBA-172EBAD64FA0}"/>
    <cellStyle name="Normal 11 2 11 3 2" xfId="1166" xr:uid="{55FA4659-9549-411F-AF76-F04D9CE18C73}"/>
    <cellStyle name="Normal 11 2 11 4" xfId="792" xr:uid="{87C37658-702C-45D5-9AF7-BBF8A3F0E2B5}"/>
    <cellStyle name="Normal 11 2 12" xfId="141" xr:uid="{54D1D494-0138-4D74-9BBC-3D7AB244A340}"/>
    <cellStyle name="Normal 11 2 12 2" xfId="304" xr:uid="{83DE43A8-31C9-4BD9-85E3-EE265062A4F8}"/>
    <cellStyle name="Normal 11 2 12 2 2" xfId="678" xr:uid="{A98266BF-9A90-4607-90D5-173366E18427}"/>
    <cellStyle name="Normal 11 2 12 2 2 2" xfId="1426" xr:uid="{E8E341CC-415D-4A43-A1F2-471354C4B1B1}"/>
    <cellStyle name="Normal 11 2 12 2 3" xfId="1052" xr:uid="{AD5D74F0-CE2A-4AF1-840A-5E72AEE53862}"/>
    <cellStyle name="Normal 11 2 12 3" xfId="515" xr:uid="{E6C1C937-A08A-4403-96CD-E60FCF7D6303}"/>
    <cellStyle name="Normal 11 2 12 3 2" xfId="1263" xr:uid="{492E89B1-B2AB-43EE-9246-8749CC8F7885}"/>
    <cellStyle name="Normal 11 2 12 4" xfId="889" xr:uid="{C9FA0092-A39C-414A-BBD1-E2D37812575A}"/>
    <cellStyle name="Normal 11 2 13" xfId="166" xr:uid="{754AB736-3D4C-49A6-A86E-B06DA0C7BC9E}"/>
    <cellStyle name="Normal 11 2 13 2" xfId="540" xr:uid="{276AF452-B604-4D40-A0D8-1107A80FCA67}"/>
    <cellStyle name="Normal 11 2 13 2 2" xfId="1288" xr:uid="{FEBF12A8-4250-41C6-B129-7CECF7414068}"/>
    <cellStyle name="Normal 11 2 13 3" xfId="914" xr:uid="{C2C62AE3-48FC-4120-A8AF-3212D1BD6FCC}"/>
    <cellStyle name="Normal 11 2 14" xfId="330" xr:uid="{0327F1D5-9380-4E4D-BE63-D8DB444C7128}"/>
    <cellStyle name="Normal 11 2 14 2" xfId="704" xr:uid="{8CA6C20B-DABB-4AC3-8736-43E73CB54164}"/>
    <cellStyle name="Normal 11 2 14 2 2" xfId="1452" xr:uid="{D990F7A7-24F8-4518-BCF0-E5548EB6AC71}"/>
    <cellStyle name="Normal 11 2 14 3" xfId="1078" xr:uid="{4142645A-6CBD-42D2-A07E-80A90A444E91}"/>
    <cellStyle name="Normal 11 2 15" xfId="356" xr:uid="{961082F2-9689-461A-A135-7451DF88C303}"/>
    <cellStyle name="Normal 11 2 15 2" xfId="730" xr:uid="{5026A8B5-B47D-489C-83C9-EA2403D50028}"/>
    <cellStyle name="Normal 11 2 15 2 2" xfId="1478" xr:uid="{C22124EC-EE2C-4CE7-8E53-BE384C5B750B}"/>
    <cellStyle name="Normal 11 2 15 3" xfId="1104" xr:uid="{6650906C-1408-46FD-BB0E-E04F205942E2}"/>
    <cellStyle name="Normal 11 2 16" xfId="377" xr:uid="{DE1C5819-C05B-497B-8ACD-B476395CC859}"/>
    <cellStyle name="Normal 11 2 16 2" xfId="1125" xr:uid="{19B19A68-537F-4892-84EE-46CB920E3210}"/>
    <cellStyle name="Normal 11 2 17" xfId="751" xr:uid="{4B1513A1-A649-45DF-A9E9-0B771973DBF1}"/>
    <cellStyle name="Normal 11 2 2" xfId="8" xr:uid="{03909071-B6C9-4500-AD14-57F78EA89D93}"/>
    <cellStyle name="Normal 11 2 2 10" xfId="333" xr:uid="{928D4944-D4D8-4A8C-BAC6-B491126FF81E}"/>
    <cellStyle name="Normal 11 2 2 10 2" xfId="707" xr:uid="{DBD0F593-99ED-4C58-A592-3066581D0995}"/>
    <cellStyle name="Normal 11 2 2 10 2 2" xfId="1455" xr:uid="{DCE21A50-0B6B-4964-9157-41EA30F5992F}"/>
    <cellStyle name="Normal 11 2 2 10 3" xfId="1081" xr:uid="{D6B612DA-8504-4993-B28A-90069FF5F5AD}"/>
    <cellStyle name="Normal 11 2 2 11" xfId="361" xr:uid="{9830121E-1E03-4B15-808E-F0A922D80280}"/>
    <cellStyle name="Normal 11 2 2 11 2" xfId="735" xr:uid="{1BC95CE2-AE3E-4FDE-A1AC-965DF3652732}"/>
    <cellStyle name="Normal 11 2 2 11 2 2" xfId="1483" xr:uid="{F0C59434-ED87-43ED-BA66-3CD6710E9B05}"/>
    <cellStyle name="Normal 11 2 2 11 3" xfId="1109" xr:uid="{AA244257-CBB1-4BD0-8BB7-1118AD47EE7E}"/>
    <cellStyle name="Normal 11 2 2 12" xfId="382" xr:uid="{8885DC13-312E-45F3-B68A-093F7B0B36D1}"/>
    <cellStyle name="Normal 11 2 2 12 2" xfId="1130" xr:uid="{D360E97E-70E8-4C0B-B2FF-10C65F493CFB}"/>
    <cellStyle name="Normal 11 2 2 13" xfId="756" xr:uid="{A4E61AB0-54C1-48BD-9326-10A1ECAD74E3}"/>
    <cellStyle name="Normal 11 2 2 2" xfId="15" xr:uid="{CC3D7A63-B725-49AE-A8FA-38630499F654}"/>
    <cellStyle name="Normal 11 2 2 2 10" xfId="389" xr:uid="{9DA9DBE7-7A2E-47C8-9A5C-42F41A2C136F}"/>
    <cellStyle name="Normal 11 2 2 2 10 2" xfId="1137" xr:uid="{BC5DEE2E-9534-4C6B-BA75-B610F3B3D681}"/>
    <cellStyle name="Normal 11 2 2 2 11" xfId="763" xr:uid="{BC5BD217-9EB5-42CF-BAA9-F7D1771370A5}"/>
    <cellStyle name="Normal 11 2 2 2 2" xfId="36" xr:uid="{490AE59C-BC79-4180-B9E8-846B666F2B13}"/>
    <cellStyle name="Normal 11 2 2 2 2 2" xfId="131" xr:uid="{9C613F8A-9181-4A36-944B-86C128F5ED93}"/>
    <cellStyle name="Normal 11 2 2 2 2 2 2" xfId="294" xr:uid="{CACCC3F1-D0E8-49CF-A30B-39E78EBB6BEB}"/>
    <cellStyle name="Normal 11 2 2 2 2 2 2 2" xfId="668" xr:uid="{A7EBC06A-E12D-40CB-8D54-B76DF46B61B2}"/>
    <cellStyle name="Normal 11 2 2 2 2 2 2 2 2" xfId="1416" xr:uid="{2505411E-29BD-40DC-8054-B2F27B3D1379}"/>
    <cellStyle name="Normal 11 2 2 2 2 2 2 3" xfId="1042" xr:uid="{0AB4A599-96DB-435D-BF24-A7045F4AD89E}"/>
    <cellStyle name="Normal 11 2 2 2 2 2 3" xfId="505" xr:uid="{FAFF4C34-6BFF-4289-86AA-6AA4A57DC8B7}"/>
    <cellStyle name="Normal 11 2 2 2 2 2 3 2" xfId="1253" xr:uid="{76F3ADC4-ADD6-421F-977F-534DA5E3D900}"/>
    <cellStyle name="Normal 11 2 2 2 2 2 4" xfId="879" xr:uid="{2EDE600F-0078-469B-96B3-C915774075D5}"/>
    <cellStyle name="Normal 11 2 2 2 2 3" xfId="93" xr:uid="{E4D14802-EE13-4017-86B4-A55AC8A94ADA}"/>
    <cellStyle name="Normal 11 2 2 2 2 3 2" xfId="256" xr:uid="{F2C48A9C-0613-47D1-8C82-5AB713EBAFF0}"/>
    <cellStyle name="Normal 11 2 2 2 2 3 2 2" xfId="630" xr:uid="{72F5EA50-8ED2-43C0-9164-54B9703BED66}"/>
    <cellStyle name="Normal 11 2 2 2 2 3 2 2 2" xfId="1378" xr:uid="{02FFBA2B-9E15-464F-95A7-F9BF07A79207}"/>
    <cellStyle name="Normal 11 2 2 2 2 3 2 3" xfId="1004" xr:uid="{DD7BA4CE-1750-40D0-A4AC-7D8CE17037CE}"/>
    <cellStyle name="Normal 11 2 2 2 2 3 3" xfId="467" xr:uid="{070587AA-B860-473D-825B-2A6697F69637}"/>
    <cellStyle name="Normal 11 2 2 2 2 3 3 2" xfId="1215" xr:uid="{5241E622-CA58-4255-BAF7-A962223BC989}"/>
    <cellStyle name="Normal 11 2 2 2 2 3 4" xfId="841" xr:uid="{174AA8DB-9AEA-49A8-9D21-380F76B2E648}"/>
    <cellStyle name="Normal 11 2 2 2 2 4" xfId="62" xr:uid="{AC93C42C-0A01-4710-95A3-25ABE7AF93C3}"/>
    <cellStyle name="Normal 11 2 2 2 2 4 2" xfId="225" xr:uid="{6061C9E7-C6E7-4FB7-9CAA-6046BE89D55E}"/>
    <cellStyle name="Normal 11 2 2 2 2 4 2 2" xfId="599" xr:uid="{1B09EFFE-0014-405D-8CDF-63AF879E8E18}"/>
    <cellStyle name="Normal 11 2 2 2 2 4 2 2 2" xfId="1347" xr:uid="{581FFB89-2DCA-43DB-ABE2-3DEF656A92DC}"/>
    <cellStyle name="Normal 11 2 2 2 2 4 2 3" xfId="973" xr:uid="{81517CB0-0C33-42E4-9113-6AE47293AAF6}"/>
    <cellStyle name="Normal 11 2 2 2 2 4 3" xfId="436" xr:uid="{D86CECDD-0AB9-425F-AD22-E288399CA16D}"/>
    <cellStyle name="Normal 11 2 2 2 2 4 3 2" xfId="1184" xr:uid="{0EE1BF99-0223-4EC0-AACC-60DB581B2BFE}"/>
    <cellStyle name="Normal 11 2 2 2 2 4 4" xfId="810" xr:uid="{454864ED-66D9-463F-969B-5CA2F7C666E9}"/>
    <cellStyle name="Normal 11 2 2 2 2 5" xfId="187" xr:uid="{3E4EEA57-E164-458A-AC9A-5C6150349D7E}"/>
    <cellStyle name="Normal 11 2 2 2 2 5 2" xfId="561" xr:uid="{22E940F9-F481-4B53-989C-B3979183BAD3}"/>
    <cellStyle name="Normal 11 2 2 2 2 5 2 2" xfId="1309" xr:uid="{956D9A82-8324-440C-B9ED-9BFCAD30F2C4}"/>
    <cellStyle name="Normal 11 2 2 2 2 5 3" xfId="935" xr:uid="{7615B38D-F25E-4A89-9FE2-11B02B4AD841}"/>
    <cellStyle name="Normal 11 2 2 2 2 6" xfId="410" xr:uid="{DF19A452-15EF-4A37-AA8A-65F6898D0656}"/>
    <cellStyle name="Normal 11 2 2 2 2 6 2" xfId="1158" xr:uid="{D4AF0A13-6042-48F2-BA25-4D88B1C78A72}"/>
    <cellStyle name="Normal 11 2 2 2 2 7" xfId="784" xr:uid="{45B42BB7-B338-4A98-A233-A8678C9B6ACD}"/>
    <cellStyle name="Normal 11 2 2 2 3" xfId="121" xr:uid="{41DD6731-434C-4F48-8430-83DE4D411EAE}"/>
    <cellStyle name="Normal 11 2 2 2 3 2" xfId="284" xr:uid="{6F2959A8-3676-4078-BCB2-B924666CE6C7}"/>
    <cellStyle name="Normal 11 2 2 2 3 2 2" xfId="658" xr:uid="{06EA5EE9-93C6-474E-B232-0118D4CF1941}"/>
    <cellStyle name="Normal 11 2 2 2 3 2 2 2" xfId="1406" xr:uid="{B20D1CEC-1504-4454-8A86-DC74CD1E6F66}"/>
    <cellStyle name="Normal 11 2 2 2 3 2 3" xfId="1032" xr:uid="{21A5BDB4-8A7B-464A-BDFC-7226B861CF82}"/>
    <cellStyle name="Normal 11 2 2 2 3 3" xfId="495" xr:uid="{494B218A-EFFF-4BF3-AD54-D002F2767014}"/>
    <cellStyle name="Normal 11 2 2 2 3 3 2" xfId="1243" xr:uid="{1A15C5C0-AE55-486C-9CC6-3C3BDC416586}"/>
    <cellStyle name="Normal 11 2 2 2 3 4" xfId="869" xr:uid="{02137878-3D0E-4B9B-8186-5563054B71E9}"/>
    <cellStyle name="Normal 11 2 2 2 4" xfId="83" xr:uid="{6279FDA2-E0A0-4BFD-80CA-2BC8A66AD414}"/>
    <cellStyle name="Normal 11 2 2 2 4 2" xfId="246" xr:uid="{E11B8B4F-DD11-42A0-A588-917D1C47E275}"/>
    <cellStyle name="Normal 11 2 2 2 4 2 2" xfId="620" xr:uid="{0342F8E6-4B6A-4456-B782-65FC0343314B}"/>
    <cellStyle name="Normal 11 2 2 2 4 2 2 2" xfId="1368" xr:uid="{4B51BC76-B331-49A5-955B-0E9B9FF7E2A3}"/>
    <cellStyle name="Normal 11 2 2 2 4 2 3" xfId="994" xr:uid="{B6BB174C-363B-49BE-8DCA-E0F8D05C7AE5}"/>
    <cellStyle name="Normal 11 2 2 2 4 3" xfId="457" xr:uid="{26BC3227-C32D-491B-A02E-E38BFD40B59E}"/>
    <cellStyle name="Normal 11 2 2 2 4 3 2" xfId="1205" xr:uid="{13DCD284-A679-4AA1-8F9C-42B0722F0929}"/>
    <cellStyle name="Normal 11 2 2 2 4 4" xfId="831" xr:uid="{5CB384D9-44D1-4390-8B9C-840040C4E149}"/>
    <cellStyle name="Normal 11 2 2 2 5" xfId="52" xr:uid="{247EC954-7AB9-47F1-906A-ED8095B5082F}"/>
    <cellStyle name="Normal 11 2 2 2 5 2" xfId="215" xr:uid="{04C8E229-9D28-458D-A262-C35F8D51EC01}"/>
    <cellStyle name="Normal 11 2 2 2 5 2 2" xfId="589" xr:uid="{927F5882-76EA-48A7-A260-FE319DA1A3CC}"/>
    <cellStyle name="Normal 11 2 2 2 5 2 2 2" xfId="1337" xr:uid="{552CF314-3156-40DA-AA39-1090E74D6354}"/>
    <cellStyle name="Normal 11 2 2 2 5 2 3" xfId="963" xr:uid="{4F253454-D621-4F2E-BCA1-AA8E3E769803}"/>
    <cellStyle name="Normal 11 2 2 2 5 3" xfId="426" xr:uid="{D1639735-158A-41DA-87C7-FFB8E6EF0116}"/>
    <cellStyle name="Normal 11 2 2 2 5 3 2" xfId="1174" xr:uid="{6325C180-3E5F-428D-A158-3F0C3C909A34}"/>
    <cellStyle name="Normal 11 2 2 2 5 4" xfId="800" xr:uid="{E2535F27-8403-4AF6-9016-392E74B9C538}"/>
    <cellStyle name="Normal 11 2 2 2 6" xfId="153" xr:uid="{EBFE9F3B-6B81-44D4-B59A-9EC913515137}"/>
    <cellStyle name="Normal 11 2 2 2 6 2" xfId="316" xr:uid="{E80DA693-D091-4F00-9010-B4E578D44607}"/>
    <cellStyle name="Normal 11 2 2 2 6 2 2" xfId="690" xr:uid="{748AA859-AFE3-4F82-A7AE-DE116D3C9974}"/>
    <cellStyle name="Normal 11 2 2 2 6 2 2 2" xfId="1438" xr:uid="{795BE438-D181-42FE-B8C9-FC0421DD7B48}"/>
    <cellStyle name="Normal 11 2 2 2 6 2 3" xfId="1064" xr:uid="{840E4D45-C4F0-423B-82AF-9BBB500B2837}"/>
    <cellStyle name="Normal 11 2 2 2 6 3" xfId="527" xr:uid="{61C43411-9147-41F6-B3A2-5F61EA941B13}"/>
    <cellStyle name="Normal 11 2 2 2 6 3 2" xfId="1275" xr:uid="{32EB2BA1-6869-4F7F-899B-31E8218C8A8B}"/>
    <cellStyle name="Normal 11 2 2 2 6 4" xfId="901" xr:uid="{EA5ADAF1-FA75-434A-9023-55DB62418D11}"/>
    <cellStyle name="Normal 11 2 2 2 7" xfId="177" xr:uid="{BD72D6AC-B6FF-467F-B36C-DF522A145E11}"/>
    <cellStyle name="Normal 11 2 2 2 7 2" xfId="551" xr:uid="{2A4CA0DA-B817-41AC-B2FE-F6497486551B}"/>
    <cellStyle name="Normal 11 2 2 2 7 2 2" xfId="1299" xr:uid="{6F6E0BED-98F3-467F-998B-D37EEFC535F7}"/>
    <cellStyle name="Normal 11 2 2 2 7 3" xfId="925" xr:uid="{17407E1E-03FF-4E19-A42B-F5C2AADB9EC4}"/>
    <cellStyle name="Normal 11 2 2 2 8" xfId="340" xr:uid="{9C2B3A6E-EAC6-425D-89C9-560D148859B9}"/>
    <cellStyle name="Normal 11 2 2 2 8 2" xfId="714" xr:uid="{656A52E1-44CC-46A6-ACE0-FEFE5424545A}"/>
    <cellStyle name="Normal 11 2 2 2 8 2 2" xfId="1462" xr:uid="{696AECDE-E5DC-4E51-A354-C6FDC54C7716}"/>
    <cellStyle name="Normal 11 2 2 2 8 3" xfId="1088" xr:uid="{BB451535-1034-421B-9544-8612B3B5BD21}"/>
    <cellStyle name="Normal 11 2 2 2 9" xfId="362" xr:uid="{8C400B03-5F03-48E8-95F2-DD9F6D358CE7}"/>
    <cellStyle name="Normal 11 2 2 2 9 2" xfId="736" xr:uid="{28C59F42-AB41-44C6-BCE6-CA69BB9741E6}"/>
    <cellStyle name="Normal 11 2 2 2 9 2 2" xfId="1484" xr:uid="{C3EBF03D-00AF-45A0-BD29-6B9241D7F93A}"/>
    <cellStyle name="Normal 11 2 2 2 9 3" xfId="1110" xr:uid="{EBD6F3F7-D671-485B-B073-07C2FF0110B7}"/>
    <cellStyle name="Normal 11 2 2 3" xfId="31" xr:uid="{F11D564D-E952-4213-A1A5-7D3135F04EC5}"/>
    <cellStyle name="Normal 11 2 2 3 2" xfId="125" xr:uid="{06D33F7C-7B05-4417-86E0-C40BE9384FE1}"/>
    <cellStyle name="Normal 11 2 2 3 2 2" xfId="288" xr:uid="{A18CE23E-BD8C-4312-B766-C579BB0CF753}"/>
    <cellStyle name="Normal 11 2 2 3 2 2 2" xfId="662" xr:uid="{16BC8E2D-511C-42D1-AE58-4988989821A7}"/>
    <cellStyle name="Normal 11 2 2 3 2 2 2 2" xfId="1410" xr:uid="{0AD3F098-18C3-401D-96EE-E742C64A12A8}"/>
    <cellStyle name="Normal 11 2 2 3 2 2 3" xfId="1036" xr:uid="{4A4E10CD-11DA-4A34-821C-AC442008C61F}"/>
    <cellStyle name="Normal 11 2 2 3 2 3" xfId="499" xr:uid="{490E4FD2-8D58-4C90-8EF7-86AEEDF3DA52}"/>
    <cellStyle name="Normal 11 2 2 3 2 3 2" xfId="1247" xr:uid="{98C27CBD-CF1B-4449-8188-71FACEFAE895}"/>
    <cellStyle name="Normal 11 2 2 3 2 4" xfId="873" xr:uid="{615BD75F-2566-4DB0-BBD9-BA0D69746CF8}"/>
    <cellStyle name="Normal 11 2 2 3 3" xfId="87" xr:uid="{06882B1B-AB4B-4FE9-BC3E-F0ED0A514E74}"/>
    <cellStyle name="Normal 11 2 2 3 3 2" xfId="250" xr:uid="{C8572C8A-96D6-46BE-9403-BBBC07637F17}"/>
    <cellStyle name="Normal 11 2 2 3 3 2 2" xfId="624" xr:uid="{B87A1B3E-D135-4556-9FBD-C0BDD49D7D0C}"/>
    <cellStyle name="Normal 11 2 2 3 3 2 2 2" xfId="1372" xr:uid="{C62D9FF2-4814-4E20-B7CA-986BDEE62A0C}"/>
    <cellStyle name="Normal 11 2 2 3 3 2 3" xfId="998" xr:uid="{C57C8483-7D61-49B1-88A4-4DB52636B578}"/>
    <cellStyle name="Normal 11 2 2 3 3 3" xfId="461" xr:uid="{709229D3-EE07-432B-B4FF-F08F6E30DC4C}"/>
    <cellStyle name="Normal 11 2 2 3 3 3 2" xfId="1209" xr:uid="{654C798D-7348-41E0-88DD-4BE6A93176CB}"/>
    <cellStyle name="Normal 11 2 2 3 3 4" xfId="835" xr:uid="{276A873C-AB2E-4150-B30A-619013E3A141}"/>
    <cellStyle name="Normal 11 2 2 3 4" xfId="56" xr:uid="{E6F04E47-1797-4AA9-B585-68285534F02C}"/>
    <cellStyle name="Normal 11 2 2 3 4 2" xfId="219" xr:uid="{07A26232-E847-414A-893A-1A26681FDEDA}"/>
    <cellStyle name="Normal 11 2 2 3 4 2 2" xfId="593" xr:uid="{739921E5-6525-402E-B5DD-0AC44056D25D}"/>
    <cellStyle name="Normal 11 2 2 3 4 2 2 2" xfId="1341" xr:uid="{ABBC47E2-7581-483C-AAAA-72820B638CE6}"/>
    <cellStyle name="Normal 11 2 2 3 4 2 3" xfId="967" xr:uid="{9C04B982-E0F9-43EA-AAE6-2597D874F9E5}"/>
    <cellStyle name="Normal 11 2 2 3 4 3" xfId="430" xr:uid="{E38E0F08-8D8E-4FEF-ABDF-DAE41C45834C}"/>
    <cellStyle name="Normal 11 2 2 3 4 3 2" xfId="1178" xr:uid="{A84F4DE0-FF62-499C-9B5C-1DEB178E0D11}"/>
    <cellStyle name="Normal 11 2 2 3 4 4" xfId="804" xr:uid="{07FDEB14-C66F-488F-B6AE-3770AFE27455}"/>
    <cellStyle name="Normal 11 2 2 3 5" xfId="181" xr:uid="{EB4C14FF-F73F-45E5-93D9-AA6B2D1BF104}"/>
    <cellStyle name="Normal 11 2 2 3 5 2" xfId="555" xr:uid="{A7042941-C298-43A1-8C2F-4CAF14C70235}"/>
    <cellStyle name="Normal 11 2 2 3 5 2 2" xfId="1303" xr:uid="{BFFE955C-7E16-4C39-8949-44A475D526F2}"/>
    <cellStyle name="Normal 11 2 2 3 5 3" xfId="929" xr:uid="{6F95C75E-7F8D-477A-B786-289ADE07FD8F}"/>
    <cellStyle name="Normal 11 2 2 3 6" xfId="405" xr:uid="{A7940109-E630-4AEF-9271-7D9EB1BC55EC}"/>
    <cellStyle name="Normal 11 2 2 3 6 2" xfId="1153" xr:uid="{DBC0A7F5-070A-439E-97E7-310EEE2FF683}"/>
    <cellStyle name="Normal 11 2 2 3 7" xfId="779" xr:uid="{6D161F09-D25A-4C30-B834-0A6388D45C33}"/>
    <cellStyle name="Normal 11 2 2 4" xfId="41" xr:uid="{59A4784E-6AFB-4104-BC68-4CCC33703C8C}"/>
    <cellStyle name="Normal 11 2 2 4 2" xfId="137" xr:uid="{84D72612-00B4-41BA-82D8-242A084453EC}"/>
    <cellStyle name="Normal 11 2 2 4 2 2" xfId="300" xr:uid="{0BCDACFA-583F-41CA-89E2-3764BB33C119}"/>
    <cellStyle name="Normal 11 2 2 4 2 2 2" xfId="674" xr:uid="{8D4547EA-E776-47C2-8026-C061B82CEDBC}"/>
    <cellStyle name="Normal 11 2 2 4 2 2 2 2" xfId="1422" xr:uid="{E8918BFE-27A7-41C7-ABF2-ECF8E055F866}"/>
    <cellStyle name="Normal 11 2 2 4 2 2 3" xfId="1048" xr:uid="{8CEF657B-8F05-4ECC-8D07-63E472AEF770}"/>
    <cellStyle name="Normal 11 2 2 4 2 3" xfId="511" xr:uid="{AED5B2F7-9F22-4598-A695-F46E2FFB6603}"/>
    <cellStyle name="Normal 11 2 2 4 2 3 2" xfId="1259" xr:uid="{B439BE19-205F-4C5D-B62B-3A2620BF845A}"/>
    <cellStyle name="Normal 11 2 2 4 2 4" xfId="885" xr:uid="{C72717CA-06AF-4811-BC11-526B4A35A894}"/>
    <cellStyle name="Normal 11 2 2 4 3" xfId="99" xr:uid="{A248FEE2-628D-4DD6-967D-B2D6B72BC7F5}"/>
    <cellStyle name="Normal 11 2 2 4 3 2" xfId="262" xr:uid="{D3B2DBCC-E621-497A-9F9E-922B99D31D90}"/>
    <cellStyle name="Normal 11 2 2 4 3 2 2" xfId="636" xr:uid="{AFD17898-F792-49CC-B1C1-8F278ABC135E}"/>
    <cellStyle name="Normal 11 2 2 4 3 2 2 2" xfId="1384" xr:uid="{337C9026-487F-4D4F-AFA9-D118FDB5A341}"/>
    <cellStyle name="Normal 11 2 2 4 3 2 3" xfId="1010" xr:uid="{FBD949EB-DCC0-428A-8DB6-293E536512DF}"/>
    <cellStyle name="Normal 11 2 2 4 3 3" xfId="473" xr:uid="{182B400E-204D-4300-A72C-D850BE2F8522}"/>
    <cellStyle name="Normal 11 2 2 4 3 3 2" xfId="1221" xr:uid="{EE48E0CF-ACC0-4DF4-941D-A82057A4BB47}"/>
    <cellStyle name="Normal 11 2 2 4 3 4" xfId="847" xr:uid="{543FF7BA-63D8-4D2E-B35B-4A5EA62B036C}"/>
    <cellStyle name="Normal 11 2 2 4 4" xfId="68" xr:uid="{B696C147-8330-40C7-AA16-A1FCD624C1C0}"/>
    <cellStyle name="Normal 11 2 2 4 4 2" xfId="231" xr:uid="{E59C44CD-C41E-43F7-BD08-AFBF1382E2CF}"/>
    <cellStyle name="Normal 11 2 2 4 4 2 2" xfId="605" xr:uid="{0997D0D7-87F0-4A91-9084-F005E643367D}"/>
    <cellStyle name="Normal 11 2 2 4 4 2 2 2" xfId="1353" xr:uid="{97F5B852-9C78-4B63-AD24-EDB2E88F7022}"/>
    <cellStyle name="Normal 11 2 2 4 4 2 3" xfId="979" xr:uid="{57D19B43-0CA8-4D52-8CFD-34F37F191023}"/>
    <cellStyle name="Normal 11 2 2 4 4 3" xfId="442" xr:uid="{FEF76E81-E3B7-4041-BF4D-92863FEC4324}"/>
    <cellStyle name="Normal 11 2 2 4 4 3 2" xfId="1190" xr:uid="{65B1A02D-CAA0-45AA-8363-763448BD5CD9}"/>
    <cellStyle name="Normal 11 2 2 4 4 4" xfId="816" xr:uid="{E63C50FC-0C80-41FE-9F28-3B52F4B5449B}"/>
    <cellStyle name="Normal 11 2 2 4 5" xfId="193" xr:uid="{0FE11992-B2C9-4A77-BCB0-30827EAA51D6}"/>
    <cellStyle name="Normal 11 2 2 4 5 2" xfId="567" xr:uid="{31F6E4C3-7A2E-42D2-8914-75E6CB18E4BA}"/>
    <cellStyle name="Normal 11 2 2 4 5 2 2" xfId="1315" xr:uid="{331CC467-9EC6-4C35-BBA0-F1B3C767328B}"/>
    <cellStyle name="Normal 11 2 2 4 5 3" xfId="941" xr:uid="{57364910-D862-49D6-A3A3-9710648206DD}"/>
    <cellStyle name="Normal 11 2 2 4 6" xfId="415" xr:uid="{63738592-B712-4B7C-BE15-44B08C0777EA}"/>
    <cellStyle name="Normal 11 2 2 4 6 2" xfId="1163" xr:uid="{DBDA4D74-F5EF-4676-9CD3-A0285F460742}"/>
    <cellStyle name="Normal 11 2 2 4 7" xfId="789" xr:uid="{8CC38317-E7D8-4B28-A7AD-12B94B73924C}"/>
    <cellStyle name="Normal 11 2 2 5" xfId="115" xr:uid="{08618273-B6AB-4F01-82E2-7B99B58CB799}"/>
    <cellStyle name="Normal 11 2 2 5 2" xfId="278" xr:uid="{A36C2F7D-A36D-49B3-A736-9505A1A8A273}"/>
    <cellStyle name="Normal 11 2 2 5 2 2" xfId="652" xr:uid="{04B30367-6528-459E-91BC-87362B4315B1}"/>
    <cellStyle name="Normal 11 2 2 5 2 2 2" xfId="1400" xr:uid="{B3A8C06A-2CDD-4E02-AB49-F8606FE510D2}"/>
    <cellStyle name="Normal 11 2 2 5 2 3" xfId="1026" xr:uid="{9C106506-BD5F-4EE4-B296-C68159B1E92F}"/>
    <cellStyle name="Normal 11 2 2 5 3" xfId="489" xr:uid="{EC53E7C3-56F0-4654-A39B-427A6B35890C}"/>
    <cellStyle name="Normal 11 2 2 5 3 2" xfId="1237" xr:uid="{607F35B2-A568-4A6E-A538-6975E8F38709}"/>
    <cellStyle name="Normal 11 2 2 5 4" xfId="863" xr:uid="{9ACF028B-642E-4AED-A6EF-F26DA23C16F4}"/>
    <cellStyle name="Normal 11 2 2 6" xfId="77" xr:uid="{415FC822-FCA5-44C8-BE7F-E303358F9437}"/>
    <cellStyle name="Normal 11 2 2 6 2" xfId="240" xr:uid="{2A9F337E-F3B9-49DF-951F-BAAA6712563D}"/>
    <cellStyle name="Normal 11 2 2 6 2 2" xfId="614" xr:uid="{E68F4D8E-6456-443D-B5A3-B25041EE89A6}"/>
    <cellStyle name="Normal 11 2 2 6 2 2 2" xfId="1362" xr:uid="{4C9A3886-5DAC-4C53-8997-32845E18CE71}"/>
    <cellStyle name="Normal 11 2 2 6 2 3" xfId="988" xr:uid="{0A479E37-72F6-4B73-9E14-FE7591CD1679}"/>
    <cellStyle name="Normal 11 2 2 6 3" xfId="451" xr:uid="{A6AA0CC0-0A6B-4419-8C31-0FBCAE39674A}"/>
    <cellStyle name="Normal 11 2 2 6 3 2" xfId="1199" xr:uid="{AD385725-3ECE-4B6A-AEB5-C098107FA6C5}"/>
    <cellStyle name="Normal 11 2 2 6 4" xfId="825" xr:uid="{4C47BB61-0337-4824-AD2D-8A9978946856}"/>
    <cellStyle name="Normal 11 2 2 7" xfId="46" xr:uid="{1138BDDB-B069-479B-91A0-121C44F06303}"/>
    <cellStyle name="Normal 11 2 2 7 2" xfId="209" xr:uid="{D25AC9F4-5E55-4746-8605-FFF9A7571829}"/>
    <cellStyle name="Normal 11 2 2 7 2 2" xfId="583" xr:uid="{86DBBD0C-49AC-41D9-A726-C9768235B2F1}"/>
    <cellStyle name="Normal 11 2 2 7 2 2 2" xfId="1331" xr:uid="{7572C293-F9F7-4AE3-BDCD-0017D96C6CFB}"/>
    <cellStyle name="Normal 11 2 2 7 2 3" xfId="957" xr:uid="{FF1D467F-5D00-4816-8BB0-E6E6C48F7F7A}"/>
    <cellStyle name="Normal 11 2 2 7 3" xfId="420" xr:uid="{06E513D8-A5B6-48FA-AC3F-3A4DEAF70A18}"/>
    <cellStyle name="Normal 11 2 2 7 3 2" xfId="1168" xr:uid="{0969870A-8AA6-4817-81E7-C1862779BAF0}"/>
    <cellStyle name="Normal 11 2 2 7 4" xfId="794" xr:uid="{F686C400-1F58-47A7-A61A-C7E613D4CF42}"/>
    <cellStyle name="Normal 11 2 2 8" xfId="146" xr:uid="{5587DC51-A881-4A73-B281-211A544AA023}"/>
    <cellStyle name="Normal 11 2 2 8 2" xfId="309" xr:uid="{CA76EA6C-1591-471D-8EBD-C5C33BD8AEC0}"/>
    <cellStyle name="Normal 11 2 2 8 2 2" xfId="683" xr:uid="{C807DBE1-0F7A-4FA8-8A81-0B0539B47B36}"/>
    <cellStyle name="Normal 11 2 2 8 2 2 2" xfId="1431" xr:uid="{4D3E3CDB-2659-471A-B94B-8818E5976DE1}"/>
    <cellStyle name="Normal 11 2 2 8 2 3" xfId="1057" xr:uid="{CEF2BC5F-9BF3-4101-A845-CB5116F6EB6B}"/>
    <cellStyle name="Normal 11 2 2 8 3" xfId="520" xr:uid="{0FF484B3-C6FE-46AE-8EF0-D28471B38A1A}"/>
    <cellStyle name="Normal 11 2 2 8 3 2" xfId="1268" xr:uid="{4A704094-A848-4EF8-90FF-E5B87EFE3D8C}"/>
    <cellStyle name="Normal 11 2 2 8 4" xfId="894" xr:uid="{C3AADB0A-FF4C-4F55-B2EC-149509EC14CD}"/>
    <cellStyle name="Normal 11 2 2 9" xfId="171" xr:uid="{C63020B3-EBFB-4999-8F09-A8CA5B724D7D}"/>
    <cellStyle name="Normal 11 2 2 9 2" xfId="545" xr:uid="{68C3ABD0-AE91-42C3-93EB-1D4C2492F03F}"/>
    <cellStyle name="Normal 11 2 2 9 2 2" xfId="1293" xr:uid="{0286246F-C590-4CAA-8296-3B159509A3AE}"/>
    <cellStyle name="Normal 11 2 2 9 3" xfId="919" xr:uid="{7B8A3AC5-53F9-4BB5-887D-5639A2B300F8}"/>
    <cellStyle name="Normal 11 2 3" xfId="12" xr:uid="{B63195D6-808F-458E-8184-8415E85BF1D7}"/>
    <cellStyle name="Normal 11 2 3 10" xfId="353" xr:uid="{F7712DB5-EB46-4FA9-8F10-6F68495C287E}"/>
    <cellStyle name="Normal 11 2 3 10 2" xfId="727" xr:uid="{21E2D2A6-AC2D-446C-AAA1-F237F92C527C}"/>
    <cellStyle name="Normal 11 2 3 10 2 2" xfId="1475" xr:uid="{8A5B9D0A-7580-48FE-8AAF-AA85480B5B80}"/>
    <cellStyle name="Normal 11 2 3 10 3" xfId="1101" xr:uid="{83D6E307-7D4C-4BCA-9005-1DC963B328A5}"/>
    <cellStyle name="Normal 11 2 3 11" xfId="386" xr:uid="{77BDB61F-B72A-4C65-95E8-7C3536D9AC84}"/>
    <cellStyle name="Normal 11 2 3 11 2" xfId="1134" xr:uid="{D5F8DCE5-0731-4F33-9AD8-055521E3C4D6}"/>
    <cellStyle name="Normal 11 2 3 12" xfId="760" xr:uid="{8F0E7C7A-F967-4F64-A7EA-A4A6F100B67E}"/>
    <cellStyle name="Normal 11 2 3 2" xfId="34" xr:uid="{19D5CF26-B8FD-4E6D-8108-CE7B79F3820C}"/>
    <cellStyle name="Normal 11 2 3 2 2" xfId="129" xr:uid="{AFCFFD06-E632-402B-9FA2-9CDD08963643}"/>
    <cellStyle name="Normal 11 2 3 2 2 2" xfId="292" xr:uid="{58C7C08C-6C51-4FD7-A838-B48E2CF673DB}"/>
    <cellStyle name="Normal 11 2 3 2 2 2 2" xfId="666" xr:uid="{1AA6FE59-D787-4085-AE11-2ADDF7835313}"/>
    <cellStyle name="Normal 11 2 3 2 2 2 2 2" xfId="1414" xr:uid="{37CDF9B0-55B9-4D9C-8CFB-C71D933760B9}"/>
    <cellStyle name="Normal 11 2 3 2 2 2 3" xfId="1040" xr:uid="{0EE22686-BCEB-4166-B969-D0AF5BC6A596}"/>
    <cellStyle name="Normal 11 2 3 2 2 3" xfId="503" xr:uid="{86FADB48-DD2B-4D75-86AD-90B9A942345F}"/>
    <cellStyle name="Normal 11 2 3 2 2 3 2" xfId="1251" xr:uid="{116E3B5D-BA33-4508-BD29-F0F8C3D77F80}"/>
    <cellStyle name="Normal 11 2 3 2 2 4" xfId="877" xr:uid="{0162C732-4CD2-4E91-99EA-D48B7D785C7B}"/>
    <cellStyle name="Normal 11 2 3 2 3" xfId="91" xr:uid="{41E7A0C0-C17F-4F54-9E1C-4B09AFA48D79}"/>
    <cellStyle name="Normal 11 2 3 2 3 2" xfId="254" xr:uid="{D0413BFB-DD13-44FC-8EE2-4F064B389F94}"/>
    <cellStyle name="Normal 11 2 3 2 3 2 2" xfId="628" xr:uid="{E3B6981F-1E0E-4BDD-9217-865A8A20C414}"/>
    <cellStyle name="Normal 11 2 3 2 3 2 2 2" xfId="1376" xr:uid="{665131CC-0328-4C44-B286-4D6A40F70779}"/>
    <cellStyle name="Normal 11 2 3 2 3 2 3" xfId="1002" xr:uid="{5AC8C94D-9409-4826-B991-9D6F25D5590C}"/>
    <cellStyle name="Normal 11 2 3 2 3 3" xfId="465" xr:uid="{9DC59B26-EB10-44E3-A643-550654A47FBB}"/>
    <cellStyle name="Normal 11 2 3 2 3 3 2" xfId="1213" xr:uid="{305AC819-E5A9-487A-B8E4-01DF069C388D}"/>
    <cellStyle name="Normal 11 2 3 2 3 4" xfId="839" xr:uid="{85432771-B9B7-4144-9C3C-E3FCF1D3C968}"/>
    <cellStyle name="Normal 11 2 3 2 4" xfId="60" xr:uid="{5AE2ABB2-AA28-438E-AF0F-7E6B6BD66469}"/>
    <cellStyle name="Normal 11 2 3 2 4 2" xfId="223" xr:uid="{9EEA84D0-B288-4F29-9655-E59579D18D10}"/>
    <cellStyle name="Normal 11 2 3 2 4 2 2" xfId="597" xr:uid="{E37D66E3-3C15-4650-A60B-7975F4AD247E}"/>
    <cellStyle name="Normal 11 2 3 2 4 2 2 2" xfId="1345" xr:uid="{73F4AC09-E8D4-4542-813F-CDA447841BC8}"/>
    <cellStyle name="Normal 11 2 3 2 4 2 3" xfId="971" xr:uid="{668D69F4-ABB3-4838-B82B-CDEA2C93B503}"/>
    <cellStyle name="Normal 11 2 3 2 4 3" xfId="434" xr:uid="{3F433D4E-1552-468D-9704-25CE94FC53D9}"/>
    <cellStyle name="Normal 11 2 3 2 4 3 2" xfId="1182" xr:uid="{F6579955-3889-471F-9BD7-92355C95CF33}"/>
    <cellStyle name="Normal 11 2 3 2 4 4" xfId="808" xr:uid="{6068145C-A647-4201-AC62-A9136F1A0443}"/>
    <cellStyle name="Normal 11 2 3 2 5" xfId="185" xr:uid="{11A9EE13-D68D-4C3F-ABC3-0CAB661F3A8F}"/>
    <cellStyle name="Normal 11 2 3 2 5 2" xfId="559" xr:uid="{F70B74EF-CDD2-4300-8BF1-C97D05FC908D}"/>
    <cellStyle name="Normal 11 2 3 2 5 2 2" xfId="1307" xr:uid="{FB5A2265-370D-4FCD-84EB-3B1EB6054568}"/>
    <cellStyle name="Normal 11 2 3 2 5 3" xfId="933" xr:uid="{C3581440-31F5-462F-939A-7DFC7D0B4511}"/>
    <cellStyle name="Normal 11 2 3 2 6" xfId="408" xr:uid="{35907ED2-20AC-4304-ABA9-3419571AC5A1}"/>
    <cellStyle name="Normal 11 2 3 2 6 2" xfId="1156" xr:uid="{C7D4034D-C6A8-4993-981C-CEA417E983EF}"/>
    <cellStyle name="Normal 11 2 3 2 7" xfId="782" xr:uid="{38F5517A-43CB-4556-9B81-8D20BF7D4DD9}"/>
    <cellStyle name="Normal 11 2 3 3" xfId="39" xr:uid="{BB71A2A5-E4CD-41FF-971E-62B13204D42A}"/>
    <cellStyle name="Normal 11 2 3 3 2" xfId="135" xr:uid="{AA64DEE6-08B5-4ACA-A5BD-3B99F0213B6F}"/>
    <cellStyle name="Normal 11 2 3 3 2 2" xfId="298" xr:uid="{9AAF5E15-0061-4AE7-9AF2-EE3589A79D77}"/>
    <cellStyle name="Normal 11 2 3 3 2 2 2" xfId="672" xr:uid="{C65B70EE-74E6-4F61-AADE-900B334B8518}"/>
    <cellStyle name="Normal 11 2 3 3 2 2 2 2" xfId="1420" xr:uid="{3CB2996D-6134-4F1A-90DD-470E316D4A39}"/>
    <cellStyle name="Normal 11 2 3 3 2 2 3" xfId="1046" xr:uid="{34285EFA-B33A-4242-89D8-EB7422591648}"/>
    <cellStyle name="Normal 11 2 3 3 2 3" xfId="509" xr:uid="{542CB34D-D5EB-4983-A117-ACBC95D92D4B}"/>
    <cellStyle name="Normal 11 2 3 3 2 3 2" xfId="1257" xr:uid="{46151ECA-A10D-4420-AD33-CB96307E6A21}"/>
    <cellStyle name="Normal 11 2 3 3 2 4" xfId="883" xr:uid="{A94B364E-0871-4B69-947C-BC71925A6DAD}"/>
    <cellStyle name="Normal 11 2 3 3 3" xfId="97" xr:uid="{00069C2C-ED64-47DC-A542-D1931F77C155}"/>
    <cellStyle name="Normal 11 2 3 3 3 2" xfId="260" xr:uid="{D89161CE-DA8C-4BA6-8037-5C4EA4632E00}"/>
    <cellStyle name="Normal 11 2 3 3 3 2 2" xfId="634" xr:uid="{0CD041AE-A76F-4E9E-B2EE-577C80BA8587}"/>
    <cellStyle name="Normal 11 2 3 3 3 2 2 2" xfId="1382" xr:uid="{3471C97F-AE19-43F3-8E58-FEC426132DEE}"/>
    <cellStyle name="Normal 11 2 3 3 3 2 3" xfId="1008" xr:uid="{156E909F-E2E9-4FEF-9D08-F2086BBF478A}"/>
    <cellStyle name="Normal 11 2 3 3 3 3" xfId="471" xr:uid="{45018D02-5F2C-4D24-A214-4CD0BB421AE4}"/>
    <cellStyle name="Normal 11 2 3 3 3 3 2" xfId="1219" xr:uid="{8228A4AA-1870-4E80-B13F-404C299800EF}"/>
    <cellStyle name="Normal 11 2 3 3 3 4" xfId="845" xr:uid="{7399CE54-C12E-4D3E-B938-CB0F2F73A7DD}"/>
    <cellStyle name="Normal 11 2 3 3 4" xfId="66" xr:uid="{4DC9492D-B632-4BE6-A230-7FA5481135DC}"/>
    <cellStyle name="Normal 11 2 3 3 4 2" xfId="229" xr:uid="{A90F07EF-1F85-4A7D-B3AB-B0381DFC76ED}"/>
    <cellStyle name="Normal 11 2 3 3 4 2 2" xfId="603" xr:uid="{F5632A81-6B96-49D6-9D1F-C215D115EB10}"/>
    <cellStyle name="Normal 11 2 3 3 4 2 2 2" xfId="1351" xr:uid="{497DAB5F-FD69-46CF-9B8A-C9E745309E5B}"/>
    <cellStyle name="Normal 11 2 3 3 4 2 3" xfId="977" xr:uid="{545B2E77-96EB-4B09-8C7D-98C0E3FE4DBA}"/>
    <cellStyle name="Normal 11 2 3 3 4 3" xfId="440" xr:uid="{00ABF166-99BE-4C34-864C-AFBC9FD9EC5A}"/>
    <cellStyle name="Normal 11 2 3 3 4 3 2" xfId="1188" xr:uid="{82EFD035-6C54-40E7-BD67-72371DAD8BED}"/>
    <cellStyle name="Normal 11 2 3 3 4 4" xfId="814" xr:uid="{5B9DB881-BE95-4CBD-82B8-A94BDE2A7CFE}"/>
    <cellStyle name="Normal 11 2 3 3 5" xfId="191" xr:uid="{EFBAA8A5-6AA3-45E5-BA5A-E07D874A49A1}"/>
    <cellStyle name="Normal 11 2 3 3 5 2" xfId="565" xr:uid="{C1130F88-32E4-4260-9F88-23CF4C8D32D6}"/>
    <cellStyle name="Normal 11 2 3 3 5 2 2" xfId="1313" xr:uid="{3CE16709-EBE0-4D61-86DD-D015DA3B3024}"/>
    <cellStyle name="Normal 11 2 3 3 5 3" xfId="939" xr:uid="{0A78C34F-6DEB-4405-B10A-33D749529EF9}"/>
    <cellStyle name="Normal 11 2 3 3 6" xfId="413" xr:uid="{F51F553D-1260-4237-94E5-571769488B21}"/>
    <cellStyle name="Normal 11 2 3 3 6 2" xfId="1161" xr:uid="{8EF5BEC4-E799-4609-BE3B-9E9EA2AACA2B}"/>
    <cellStyle name="Normal 11 2 3 3 7" xfId="787" xr:uid="{ECCB8EDE-8B3F-43AD-9A72-4E362E26F7DA}"/>
    <cellStyle name="Normal 11 2 3 4" xfId="119" xr:uid="{8F6B35C5-8FAB-4425-885A-6727BAAEECF9}"/>
    <cellStyle name="Normal 11 2 3 4 2" xfId="282" xr:uid="{6BAD85C5-1D64-44B8-9776-37A74F369EB5}"/>
    <cellStyle name="Normal 11 2 3 4 2 2" xfId="656" xr:uid="{129062AB-2C95-44FB-BCCD-B89AFC0DE758}"/>
    <cellStyle name="Normal 11 2 3 4 2 2 2" xfId="1404" xr:uid="{FBA60D90-D76B-4AAF-B507-410A2685233D}"/>
    <cellStyle name="Normal 11 2 3 4 2 3" xfId="1030" xr:uid="{E44D149D-2EAB-45AA-840A-FB356519DE01}"/>
    <cellStyle name="Normal 11 2 3 4 3" xfId="493" xr:uid="{55ADFFBB-9821-4A0A-A2A7-EB4857A3500C}"/>
    <cellStyle name="Normal 11 2 3 4 3 2" xfId="1241" xr:uid="{432A9D79-AF74-482B-A160-2AB76201D8B9}"/>
    <cellStyle name="Normal 11 2 3 4 4" xfId="867" xr:uid="{8A1A37E3-2F60-464B-A262-518AD965B3A4}"/>
    <cellStyle name="Normal 11 2 3 5" xfId="81" xr:uid="{A805743F-801F-4CC8-B5F4-AB53CD6A6616}"/>
    <cellStyle name="Normal 11 2 3 5 2" xfId="244" xr:uid="{C036659F-238C-4915-B849-C129F51A5E4A}"/>
    <cellStyle name="Normal 11 2 3 5 2 2" xfId="618" xr:uid="{4EF5438F-4129-4D12-9ABC-58245E186120}"/>
    <cellStyle name="Normal 11 2 3 5 2 2 2" xfId="1366" xr:uid="{8F713A3B-7648-4246-933E-C39858BADC55}"/>
    <cellStyle name="Normal 11 2 3 5 2 3" xfId="992" xr:uid="{FD75DD66-C43E-4E6F-8E58-4C57D32D0E4E}"/>
    <cellStyle name="Normal 11 2 3 5 3" xfId="455" xr:uid="{FBFA6279-B6DF-428F-8355-4149A9DA6E15}"/>
    <cellStyle name="Normal 11 2 3 5 3 2" xfId="1203" xr:uid="{44976FB1-2827-416D-9066-95D4B1477B80}"/>
    <cellStyle name="Normal 11 2 3 5 4" xfId="829" xr:uid="{C93BAC2A-B257-464F-80BD-942595838178}"/>
    <cellStyle name="Normal 11 2 3 6" xfId="50" xr:uid="{E302E0CB-7714-4785-B790-CE8863F04FFB}"/>
    <cellStyle name="Normal 11 2 3 6 2" xfId="213" xr:uid="{B1BF54DB-FC40-44B0-A917-3A230FE7A1E6}"/>
    <cellStyle name="Normal 11 2 3 6 2 2" xfId="587" xr:uid="{EC06EF62-3FCE-4A4A-B3C5-740BE1AA84A0}"/>
    <cellStyle name="Normal 11 2 3 6 2 2 2" xfId="1335" xr:uid="{0E9A5BAC-AC40-495C-BE3A-CD2DE0A25CF4}"/>
    <cellStyle name="Normal 11 2 3 6 2 3" xfId="961" xr:uid="{52F19346-38E9-49B1-ABF2-1CF2C63B1163}"/>
    <cellStyle name="Normal 11 2 3 6 3" xfId="424" xr:uid="{A1AF4C12-6744-4709-917C-D908046F5629}"/>
    <cellStyle name="Normal 11 2 3 6 3 2" xfId="1172" xr:uid="{359D8B4C-1D58-4151-94E9-D32931852374}"/>
    <cellStyle name="Normal 11 2 3 6 4" xfId="798" xr:uid="{9CED4C7A-A823-462D-A877-411D5A5D41BF}"/>
    <cellStyle name="Normal 11 2 3 7" xfId="150" xr:uid="{C384FE09-B1E1-44F8-9428-937237F69548}"/>
    <cellStyle name="Normal 11 2 3 7 2" xfId="313" xr:uid="{54C65E37-81CB-4DAD-875D-84E35FF64484}"/>
    <cellStyle name="Normal 11 2 3 7 2 2" xfId="687" xr:uid="{520EE852-A55C-41F8-80BA-8218FF90CFA1}"/>
    <cellStyle name="Normal 11 2 3 7 2 2 2" xfId="1435" xr:uid="{F9302392-8AC1-4D83-8656-CF833014413F}"/>
    <cellStyle name="Normal 11 2 3 7 2 3" xfId="1061" xr:uid="{0AE6ECC7-67E3-437E-97F6-7FCEBE082174}"/>
    <cellStyle name="Normal 11 2 3 7 3" xfId="524" xr:uid="{FC100491-5D55-4741-8673-782AF142B291}"/>
    <cellStyle name="Normal 11 2 3 7 3 2" xfId="1272" xr:uid="{A4AD8645-DB39-47D7-B832-A6D1BBD264F6}"/>
    <cellStyle name="Normal 11 2 3 7 4" xfId="898" xr:uid="{010C25A5-291D-4246-8819-0F2DE6136C33}"/>
    <cellStyle name="Normal 11 2 3 8" xfId="175" xr:uid="{4C32F3CE-0443-457B-B049-54BFF978E600}"/>
    <cellStyle name="Normal 11 2 3 8 2" xfId="549" xr:uid="{56F5F070-64BA-4CEE-A83E-CE871F541399}"/>
    <cellStyle name="Normal 11 2 3 8 2 2" xfId="1297" xr:uid="{7BA1915C-3D04-437B-932F-86A4EEA1D72B}"/>
    <cellStyle name="Normal 11 2 3 8 3" xfId="923" xr:uid="{C3F082A8-DB08-4538-B06C-02985E8A4EAF}"/>
    <cellStyle name="Normal 11 2 3 9" xfId="337" xr:uid="{7F060617-7CED-4C14-9BD8-094E8597FDF6}"/>
    <cellStyle name="Normal 11 2 3 9 2" xfId="711" xr:uid="{C8DBCAB1-5F39-4785-ACC7-201A5459AFDC}"/>
    <cellStyle name="Normal 11 2 3 9 2 2" xfId="1459" xr:uid="{72D345EA-EDC6-477B-ADF8-BA08E48FB04D}"/>
    <cellStyle name="Normal 11 2 3 9 3" xfId="1085" xr:uid="{2B088B35-C016-4327-9615-4A8845DF61F8}"/>
    <cellStyle name="Normal 11 2 4" xfId="6" xr:uid="{B495DA31-B90E-42C7-9AC1-362D391A3455}"/>
    <cellStyle name="Normal 11 2 4 2" xfId="33" xr:uid="{0FA44597-FD40-47DF-9E82-2550FF23236B}"/>
    <cellStyle name="Normal 11 2 4 2 2" xfId="127" xr:uid="{E956213B-F582-4A83-9F9E-98CAA636E990}"/>
    <cellStyle name="Normal 11 2 4 2 2 2" xfId="290" xr:uid="{56F94A59-3235-43E6-8516-885A0D9E36DC}"/>
    <cellStyle name="Normal 11 2 4 2 2 2 2" xfId="664" xr:uid="{ECB58FAD-1303-435A-9035-2C1467773896}"/>
    <cellStyle name="Normal 11 2 4 2 2 2 2 2" xfId="1412" xr:uid="{E01A4428-F050-42C1-B6A7-A574ADCB7458}"/>
    <cellStyle name="Normal 11 2 4 2 2 2 3" xfId="1038" xr:uid="{00C104E3-0C42-4DCF-ACC7-23CCC925993D}"/>
    <cellStyle name="Normal 11 2 4 2 2 3" xfId="501" xr:uid="{20BB532F-0A2D-4C46-824C-4C51A9E0B5E7}"/>
    <cellStyle name="Normal 11 2 4 2 2 3 2" xfId="1249" xr:uid="{73AAF014-CF08-4976-B4A2-80F5ADFFDD1B}"/>
    <cellStyle name="Normal 11 2 4 2 2 4" xfId="875" xr:uid="{E9664B01-9F7A-4DC1-8E29-5D0C23E22219}"/>
    <cellStyle name="Normal 11 2 4 2 3" xfId="89" xr:uid="{65FEEFA3-B9BD-48B4-9D15-CE82C85DFB33}"/>
    <cellStyle name="Normal 11 2 4 2 3 2" xfId="252" xr:uid="{C694266F-F1D7-4138-AB86-6FBFFC89CD97}"/>
    <cellStyle name="Normal 11 2 4 2 3 2 2" xfId="626" xr:uid="{86187D34-B98E-4D79-A5CA-31774857E7B4}"/>
    <cellStyle name="Normal 11 2 4 2 3 2 2 2" xfId="1374" xr:uid="{B5CBF004-A50A-41C6-953C-DDB7C291F2DD}"/>
    <cellStyle name="Normal 11 2 4 2 3 2 3" xfId="1000" xr:uid="{9F4D5FB9-911D-4684-9376-0049EA6E4BD6}"/>
    <cellStyle name="Normal 11 2 4 2 3 3" xfId="463" xr:uid="{FCFE1929-42C1-40E0-A9A5-E132356BA475}"/>
    <cellStyle name="Normal 11 2 4 2 3 3 2" xfId="1211" xr:uid="{4B9DEC68-80B8-43CC-8724-54ED32E137E8}"/>
    <cellStyle name="Normal 11 2 4 2 3 4" xfId="837" xr:uid="{1F54A47F-037F-4D41-957F-0D4CD79A53BA}"/>
    <cellStyle name="Normal 11 2 4 2 4" xfId="58" xr:uid="{C18D67A0-66C3-42A7-87A4-019578717C4D}"/>
    <cellStyle name="Normal 11 2 4 2 4 2" xfId="221" xr:uid="{BC6E3AFE-101B-441C-A440-465334AF1B41}"/>
    <cellStyle name="Normal 11 2 4 2 4 2 2" xfId="595" xr:uid="{5822E7D5-D17A-4716-AAF4-9A4B2645F0DA}"/>
    <cellStyle name="Normal 11 2 4 2 4 2 2 2" xfId="1343" xr:uid="{1F482EED-1C43-41F5-8518-44054AE47CB8}"/>
    <cellStyle name="Normal 11 2 4 2 4 2 3" xfId="969" xr:uid="{90DD8066-41BE-48BF-9EFE-E4735EF2C259}"/>
    <cellStyle name="Normal 11 2 4 2 4 3" xfId="432" xr:uid="{B69F36FA-685E-4BDA-B244-8FD1838982F8}"/>
    <cellStyle name="Normal 11 2 4 2 4 3 2" xfId="1180" xr:uid="{1C001606-D3C2-4068-99A9-CDDE3E73354F}"/>
    <cellStyle name="Normal 11 2 4 2 4 4" xfId="806" xr:uid="{B19790E4-06A9-495C-A5FC-E142DC28670E}"/>
    <cellStyle name="Normal 11 2 4 2 5" xfId="183" xr:uid="{20D9765A-22DE-4F70-814B-2200EB615DAF}"/>
    <cellStyle name="Normal 11 2 4 2 5 2" xfId="557" xr:uid="{DDB451B0-E20B-4538-8956-826DA5163CAD}"/>
    <cellStyle name="Normal 11 2 4 2 5 2 2" xfId="1305" xr:uid="{62D6E918-289E-4C21-9F92-AD661BB7F19A}"/>
    <cellStyle name="Normal 11 2 4 2 5 3" xfId="931" xr:uid="{47D8BC4B-BA0C-427F-80C8-F98AF34E12A5}"/>
    <cellStyle name="Normal 11 2 4 2 6" xfId="407" xr:uid="{0ED860CF-1A8C-4140-A8AB-5E809791F58B}"/>
    <cellStyle name="Normal 11 2 4 2 6 2" xfId="1155" xr:uid="{60B8BDE9-77E4-4724-B0DB-50A7C07A57CA}"/>
    <cellStyle name="Normal 11 2 4 2 7" xfId="781" xr:uid="{B54689CF-1521-40AF-BEE0-C9A6E12B62A0}"/>
    <cellStyle name="Normal 11 2 4 3" xfId="117" xr:uid="{6E94AAF8-35D5-4CC1-AA15-7BB5C578BB32}"/>
    <cellStyle name="Normal 11 2 4 3 2" xfId="280" xr:uid="{3942D27A-E84D-4A00-907C-24E3907C1543}"/>
    <cellStyle name="Normal 11 2 4 3 2 2" xfId="654" xr:uid="{9C599886-0670-45F7-9B59-1B112DE66E4A}"/>
    <cellStyle name="Normal 11 2 4 3 2 2 2" xfId="1402" xr:uid="{CE14DCDF-BA6F-42F4-AA80-10E3F73C7E40}"/>
    <cellStyle name="Normal 11 2 4 3 2 3" xfId="1028" xr:uid="{9A0B91F7-5AB5-497E-9045-77FDE394CC3B}"/>
    <cellStyle name="Normal 11 2 4 3 3" xfId="491" xr:uid="{15276B50-7A1D-44CB-93E7-02B03B461B04}"/>
    <cellStyle name="Normal 11 2 4 3 3 2" xfId="1239" xr:uid="{6D518882-4903-4ABB-A635-DB9DC6E88D84}"/>
    <cellStyle name="Normal 11 2 4 3 4" xfId="865" xr:uid="{21657838-52E6-455B-A92C-9603A892312F}"/>
    <cellStyle name="Normal 11 2 4 4" xfId="79" xr:uid="{84ED7FB1-8C4F-49BE-B71B-BBCD0FB5B6E5}"/>
    <cellStyle name="Normal 11 2 4 4 2" xfId="242" xr:uid="{F0CD12BA-3471-4AA4-95D4-00DFD96EF9D2}"/>
    <cellStyle name="Normal 11 2 4 4 2 2" xfId="616" xr:uid="{AD54A488-7C26-49C7-8768-4D9E4A65AA5C}"/>
    <cellStyle name="Normal 11 2 4 4 2 2 2" xfId="1364" xr:uid="{E39F0FB7-CE27-455D-AC90-6A3D06ED44C4}"/>
    <cellStyle name="Normal 11 2 4 4 2 3" xfId="990" xr:uid="{D71479BC-48C2-4FB3-85FC-F390749EC170}"/>
    <cellStyle name="Normal 11 2 4 4 3" xfId="453" xr:uid="{AD800574-4E9B-42A1-B277-289D838280E1}"/>
    <cellStyle name="Normal 11 2 4 4 3 2" xfId="1201" xr:uid="{9F8F0288-ABD7-449D-BCFA-43642F050438}"/>
    <cellStyle name="Normal 11 2 4 4 4" xfId="827" xr:uid="{B8774D98-A9BD-42AF-A54A-CC566E28C958}"/>
    <cellStyle name="Normal 11 2 4 5" xfId="48" xr:uid="{74DD406B-DE84-49C1-A2E1-4833F3CB3B97}"/>
    <cellStyle name="Normal 11 2 4 5 2" xfId="211" xr:uid="{857EF8FE-FE01-48B5-902F-CCD5529CEC4A}"/>
    <cellStyle name="Normal 11 2 4 5 2 2" xfId="585" xr:uid="{00D57654-D180-46D4-B160-6FEB8BD1D3CE}"/>
    <cellStyle name="Normal 11 2 4 5 2 2 2" xfId="1333" xr:uid="{7ED79395-7F59-4C94-B09F-6C40CFD513DE}"/>
    <cellStyle name="Normal 11 2 4 5 2 3" xfId="959" xr:uid="{100505B9-B20A-46D1-AA57-B1574A5F5CEB}"/>
    <cellStyle name="Normal 11 2 4 5 3" xfId="422" xr:uid="{0AC2977C-26D2-436A-8981-5157C027EE5A}"/>
    <cellStyle name="Normal 11 2 4 5 3 2" xfId="1170" xr:uid="{CD2086D4-A0F1-4ED1-ACF8-D9FC52FE8391}"/>
    <cellStyle name="Normal 11 2 4 5 4" xfId="796" xr:uid="{D1D128F7-6878-41DB-8083-A11CD6CCB212}"/>
    <cellStyle name="Normal 11 2 4 6" xfId="144" xr:uid="{C4159D45-34F3-4742-8A9A-6E00BD4DD30A}"/>
    <cellStyle name="Normal 11 2 4 6 2" xfId="307" xr:uid="{85F936F3-AB1B-4112-9D4C-1371991688DB}"/>
    <cellStyle name="Normal 11 2 4 6 2 2" xfId="681" xr:uid="{DA947E3F-99C7-497C-BF70-51608412CA08}"/>
    <cellStyle name="Normal 11 2 4 6 2 2 2" xfId="1429" xr:uid="{43F15245-0059-4BAE-9AA5-0D386A19845E}"/>
    <cellStyle name="Normal 11 2 4 6 2 3" xfId="1055" xr:uid="{7B681D31-6B63-4E1D-AC36-75E2C341D9E5}"/>
    <cellStyle name="Normal 11 2 4 6 3" xfId="518" xr:uid="{D079902C-C01D-4023-A4F2-0EABA9E389B9}"/>
    <cellStyle name="Normal 11 2 4 6 3 2" xfId="1266" xr:uid="{21DDDCEB-AD58-41AF-AC11-A11FA2E9BD29}"/>
    <cellStyle name="Normal 11 2 4 6 4" xfId="892" xr:uid="{F94AE39B-1A29-4BA1-AC5B-23496D84D32F}"/>
    <cellStyle name="Normal 11 2 4 7" xfId="173" xr:uid="{3722FD68-F49B-4B45-8A0C-3261618B4E38}"/>
    <cellStyle name="Normal 11 2 4 7 2" xfId="547" xr:uid="{FD833BA7-6CD5-4E12-B5BE-B9A06B471D26}"/>
    <cellStyle name="Normal 11 2 4 7 2 2" xfId="1295" xr:uid="{F8D8E9A0-3C28-44DA-B3FC-FD571A7F6E4B}"/>
    <cellStyle name="Normal 11 2 4 7 3" xfId="921" xr:uid="{17E5D072-CFD3-4FAF-8061-302395F31C95}"/>
    <cellStyle name="Normal 11 2 4 8" xfId="380" xr:uid="{335A992F-925A-4A2B-9351-1C5B05713AB1}"/>
    <cellStyle name="Normal 11 2 4 8 2" xfId="1128" xr:uid="{B65810E7-D464-4B38-A928-4CDA0BFCEF91}"/>
    <cellStyle name="Normal 11 2 4 9" xfId="754" xr:uid="{ED3CC898-E93F-4A86-BDD0-3EFA0B9D3C7D}"/>
    <cellStyle name="Normal 11 2 5" xfId="29" xr:uid="{8AFFEC95-D5F3-4C79-8D0A-1771DC55DB44}"/>
    <cellStyle name="Normal 11 2 5 2" xfId="123" xr:uid="{3E6C893B-4988-43C9-A0DB-9D3C235C7307}"/>
    <cellStyle name="Normal 11 2 5 2 2" xfId="286" xr:uid="{441A70A7-3C09-4B7E-AC26-BAB6D1C2765B}"/>
    <cellStyle name="Normal 11 2 5 2 2 2" xfId="660" xr:uid="{FE76D5CD-B17D-428E-A97B-DDDCC26B4EDF}"/>
    <cellStyle name="Normal 11 2 5 2 2 2 2" xfId="1408" xr:uid="{DB593216-FE63-46D2-8355-7C2262269B88}"/>
    <cellStyle name="Normal 11 2 5 2 2 3" xfId="1034" xr:uid="{617B783E-E95B-484B-A4E1-6575F9C52C1D}"/>
    <cellStyle name="Normal 11 2 5 2 3" xfId="497" xr:uid="{CB8480D1-D225-4ADB-9176-86F1FDF9F5D5}"/>
    <cellStyle name="Normal 11 2 5 2 3 2" xfId="1245" xr:uid="{B4B66D4C-C9A9-43F4-9687-2D5AE5C6E6EC}"/>
    <cellStyle name="Normal 11 2 5 2 4" xfId="871" xr:uid="{97CF2B01-B8DB-4ED9-827D-E80C83D08288}"/>
    <cellStyle name="Normal 11 2 5 3" xfId="85" xr:uid="{725CF1F7-A837-4D09-82B2-46B8241F291B}"/>
    <cellStyle name="Normal 11 2 5 3 2" xfId="248" xr:uid="{D287B63E-503E-483C-80CF-C410AF9FFF98}"/>
    <cellStyle name="Normal 11 2 5 3 2 2" xfId="622" xr:uid="{FF776366-C0CA-4BD1-91AE-441F3F78AF43}"/>
    <cellStyle name="Normal 11 2 5 3 2 2 2" xfId="1370" xr:uid="{8E5A2CAE-45CC-4F9F-BC8D-501CBF9254E8}"/>
    <cellStyle name="Normal 11 2 5 3 2 3" xfId="996" xr:uid="{DB5DC0F7-D246-458B-8746-A6D7BA6D3168}"/>
    <cellStyle name="Normal 11 2 5 3 3" xfId="459" xr:uid="{D3106879-6854-4CDD-BA7F-16BEBF7D18F1}"/>
    <cellStyle name="Normal 11 2 5 3 3 2" xfId="1207" xr:uid="{4B86D76F-A365-4439-A0EE-C87B47DE811B}"/>
    <cellStyle name="Normal 11 2 5 3 4" xfId="833" xr:uid="{09288754-F19D-4697-929D-D0A4412EE533}"/>
    <cellStyle name="Normal 11 2 5 4" xfId="54" xr:uid="{D7E60491-7EB4-499F-8167-588DDDDA2DA6}"/>
    <cellStyle name="Normal 11 2 5 4 2" xfId="217" xr:uid="{A3B40707-7BD4-4132-9546-73DEBD6EA7C2}"/>
    <cellStyle name="Normal 11 2 5 4 2 2" xfId="591" xr:uid="{4BFE9E6E-AE22-4DA7-82B0-482C973ABAA3}"/>
    <cellStyle name="Normal 11 2 5 4 2 2 2" xfId="1339" xr:uid="{AEEE0927-267E-4857-BC32-076BF7DB6C74}"/>
    <cellStyle name="Normal 11 2 5 4 2 3" xfId="965" xr:uid="{4EAD2A75-2F68-4176-BF80-A9B7AE7121D9}"/>
    <cellStyle name="Normal 11 2 5 4 3" xfId="428" xr:uid="{5F4BFBBC-1A0A-4D45-8EF6-7767C80F7992}"/>
    <cellStyle name="Normal 11 2 5 4 3 2" xfId="1176" xr:uid="{32990F28-9D22-4A68-A192-364706DDC41A}"/>
    <cellStyle name="Normal 11 2 5 4 4" xfId="802" xr:uid="{9515BD76-9ABF-45E6-B5A2-D1042E95C7BC}"/>
    <cellStyle name="Normal 11 2 5 5" xfId="179" xr:uid="{CE8E54B3-CF3C-45F3-B5F7-E32014C50B07}"/>
    <cellStyle name="Normal 11 2 5 5 2" xfId="553" xr:uid="{80355E38-9138-4799-8B15-8BAC1885C585}"/>
    <cellStyle name="Normal 11 2 5 5 2 2" xfId="1301" xr:uid="{D528CA9B-F18E-435C-BA32-34B2573D8E0A}"/>
    <cellStyle name="Normal 11 2 5 5 3" xfId="927" xr:uid="{26F40244-FD8F-457D-B91A-9551E8610477}"/>
    <cellStyle name="Normal 11 2 5 6" xfId="403" xr:uid="{B3A2AB9C-CCB1-4BBC-823F-1C42CAD9D1DD}"/>
    <cellStyle name="Normal 11 2 5 6 2" xfId="1151" xr:uid="{CF926ABC-2F37-499A-B489-57C4F64F4DB7}"/>
    <cellStyle name="Normal 11 2 5 7" xfId="777" xr:uid="{E8CC89E6-F041-4666-8C9C-0B7A176AC710}"/>
    <cellStyle name="Normal 11 2 6" xfId="37" xr:uid="{8719CB84-2D98-4FC6-9041-EBA0688EE612}"/>
    <cellStyle name="Normal 11 2 6 2" xfId="133" xr:uid="{F87AC554-E95A-4044-9690-5E715046E3C5}"/>
    <cellStyle name="Normal 11 2 6 2 2" xfId="296" xr:uid="{C2FCEC90-B28C-46D8-BE16-74DA14BF207C}"/>
    <cellStyle name="Normal 11 2 6 2 2 2" xfId="670" xr:uid="{041BAD79-83FA-4C6E-A958-DD354175D32B}"/>
    <cellStyle name="Normal 11 2 6 2 2 2 2" xfId="1418" xr:uid="{24FBCE8A-4ED1-4AC6-A49F-75B888B50DD4}"/>
    <cellStyle name="Normal 11 2 6 2 2 3" xfId="1044" xr:uid="{58965F6D-2957-4130-B508-68D585573D20}"/>
    <cellStyle name="Normal 11 2 6 2 3" xfId="507" xr:uid="{D4970C43-1130-4130-BCBE-7911F7EB4871}"/>
    <cellStyle name="Normal 11 2 6 2 3 2" xfId="1255" xr:uid="{A5799869-00B9-4A9C-90CC-FADC291DBFF9}"/>
    <cellStyle name="Normal 11 2 6 2 4" xfId="881" xr:uid="{D42CFE8B-1F18-4093-822E-70BD4D75C399}"/>
    <cellStyle name="Normal 11 2 6 3" xfId="95" xr:uid="{53E13B50-F233-43A4-85E0-81D1E1C989E0}"/>
    <cellStyle name="Normal 11 2 6 3 2" xfId="258" xr:uid="{A309249B-F8E4-4629-9507-B85101BBD02B}"/>
    <cellStyle name="Normal 11 2 6 3 2 2" xfId="632" xr:uid="{9FE1E49A-D3B5-4E8B-A175-EE78A32C07DE}"/>
    <cellStyle name="Normal 11 2 6 3 2 2 2" xfId="1380" xr:uid="{1EDA72F4-DA6E-40B3-ACAA-5AF2C187CA1E}"/>
    <cellStyle name="Normal 11 2 6 3 2 3" xfId="1006" xr:uid="{9121A784-1AD5-4C96-B25A-562649F21299}"/>
    <cellStyle name="Normal 11 2 6 3 3" xfId="469" xr:uid="{C83350CF-AAE2-482F-BBB6-04778B83C871}"/>
    <cellStyle name="Normal 11 2 6 3 3 2" xfId="1217" xr:uid="{3605BB08-72AE-415C-8313-EB756A23DB36}"/>
    <cellStyle name="Normal 11 2 6 3 4" xfId="843" xr:uid="{E26C0BB1-D719-4EDB-928F-374B23FF3668}"/>
    <cellStyle name="Normal 11 2 6 4" xfId="64" xr:uid="{CCC35029-2DA5-4C48-A33A-8ACE8E0289AC}"/>
    <cellStyle name="Normal 11 2 6 4 2" xfId="227" xr:uid="{7E3B0AB0-E226-443B-A160-DB6BB25B6305}"/>
    <cellStyle name="Normal 11 2 6 4 2 2" xfId="601" xr:uid="{5A41CD6B-5C0D-4F31-A9F2-D20D2DBF7540}"/>
    <cellStyle name="Normal 11 2 6 4 2 2 2" xfId="1349" xr:uid="{E508BC02-8F6C-4AAC-98F0-19980B52E26A}"/>
    <cellStyle name="Normal 11 2 6 4 2 3" xfId="975" xr:uid="{CC10D102-2119-4ED9-9FA6-42AB996F4227}"/>
    <cellStyle name="Normal 11 2 6 4 3" xfId="438" xr:uid="{F564768C-AA59-49EE-BD94-0F27A67EFCBF}"/>
    <cellStyle name="Normal 11 2 6 4 3 2" xfId="1186" xr:uid="{73FB0757-D767-4DF7-9AA3-8FE7207EBF40}"/>
    <cellStyle name="Normal 11 2 6 4 4" xfId="812" xr:uid="{71308684-2A4C-4F80-87CB-F4E6DF06B699}"/>
    <cellStyle name="Normal 11 2 6 5" xfId="189" xr:uid="{C1594F08-6971-446E-8CAE-6C04DA427C9D}"/>
    <cellStyle name="Normal 11 2 6 5 2" xfId="563" xr:uid="{0C4AFDC6-069B-4A33-94D7-A6157837AB76}"/>
    <cellStyle name="Normal 11 2 6 5 2 2" xfId="1311" xr:uid="{4540958C-71B0-4CC1-94A7-F7437A8DFEF4}"/>
    <cellStyle name="Normal 11 2 6 5 3" xfId="937" xr:uid="{6631FB1D-3299-4679-8AFA-14B2A4517017}"/>
    <cellStyle name="Normal 11 2 6 6" xfId="411" xr:uid="{2C2855F8-C96B-4C6C-BF0C-CA936098ED77}"/>
    <cellStyle name="Normal 11 2 6 6 2" xfId="1159" xr:uid="{17EA87D2-39B9-4C07-A7A1-27EF88BF430C}"/>
    <cellStyle name="Normal 11 2 6 7" xfId="785" xr:uid="{C603EEAA-6F7B-40CA-8B69-9FC092063FBB}"/>
    <cellStyle name="Normal 11 2 7" xfId="42" xr:uid="{3A5FA73F-09C2-4CF7-95C5-806A7B638D5F}"/>
    <cellStyle name="Normal 11 2 7 2" xfId="139" xr:uid="{F3BC3902-3218-459D-8E68-84634E4E2FFF}"/>
    <cellStyle name="Normal 11 2 7 2 2" xfId="302" xr:uid="{B92EDCA7-6E26-4B74-8648-ED6538CE4AE2}"/>
    <cellStyle name="Normal 11 2 7 2 2 2" xfId="676" xr:uid="{9D14D4F0-D01D-4EF1-85BF-A1B5637BF08D}"/>
    <cellStyle name="Normal 11 2 7 2 2 2 2" xfId="1424" xr:uid="{DDF2C1CA-EBC2-4238-8723-ACA9EE00EE9B}"/>
    <cellStyle name="Normal 11 2 7 2 2 3" xfId="1050" xr:uid="{871B14BF-46BB-434C-9930-749E5B897EBB}"/>
    <cellStyle name="Normal 11 2 7 2 3" xfId="513" xr:uid="{FD154F10-D86D-43FE-B286-40C301979F9C}"/>
    <cellStyle name="Normal 11 2 7 2 3 2" xfId="1261" xr:uid="{8B8E5BF6-9838-475F-8BE9-B3B4D59B2495}"/>
    <cellStyle name="Normal 11 2 7 2 4" xfId="887" xr:uid="{868534D7-8BA8-4410-994C-1181953B2ED3}"/>
    <cellStyle name="Normal 11 2 7 3" xfId="101" xr:uid="{F7C5282E-54A3-4ADD-B11D-90843DE4CC0A}"/>
    <cellStyle name="Normal 11 2 7 3 2" xfId="264" xr:uid="{61CB9BF2-8E1A-4A46-9C25-4C0A22516D63}"/>
    <cellStyle name="Normal 11 2 7 3 2 2" xfId="638" xr:uid="{4109B8C6-4E77-40AD-A012-51B2824E5BE9}"/>
    <cellStyle name="Normal 11 2 7 3 2 2 2" xfId="1386" xr:uid="{6198C532-B457-4337-ADE1-716433BC5F49}"/>
    <cellStyle name="Normal 11 2 7 3 2 3" xfId="1012" xr:uid="{1E0A8186-EE16-421F-B2B7-CF9F26CC924B}"/>
    <cellStyle name="Normal 11 2 7 3 3" xfId="475" xr:uid="{A77D333E-A724-48A1-A065-1BCA8BAF6867}"/>
    <cellStyle name="Normal 11 2 7 3 3 2" xfId="1223" xr:uid="{CA8695B5-7643-41C2-8DB8-AF60CA8D1E1B}"/>
    <cellStyle name="Normal 11 2 7 3 4" xfId="849" xr:uid="{385589AD-3BA2-4126-AA2F-DF876DE9940A}"/>
    <cellStyle name="Normal 11 2 7 4" xfId="70" xr:uid="{E9B1976E-91D7-4833-8B75-DC36650A6C33}"/>
    <cellStyle name="Normal 11 2 7 4 2" xfId="233" xr:uid="{0D1CD624-E6E0-4020-A9A2-8E1E060E0401}"/>
    <cellStyle name="Normal 11 2 7 4 2 2" xfId="607" xr:uid="{93D841FD-B6D1-459B-93BD-5A0AB8EBE734}"/>
    <cellStyle name="Normal 11 2 7 4 2 2 2" xfId="1355" xr:uid="{FA3E6012-7004-4BF4-9EB6-2EDA7B2E196E}"/>
    <cellStyle name="Normal 11 2 7 4 2 3" xfId="981" xr:uid="{74F5FD5D-9B43-4EE2-976A-96FC1B74E312}"/>
    <cellStyle name="Normal 11 2 7 4 3" xfId="444" xr:uid="{A71B43EB-96F0-4FF9-80EA-B3535E57A860}"/>
    <cellStyle name="Normal 11 2 7 4 3 2" xfId="1192" xr:uid="{6D0B78A5-027B-4FB9-B74E-59EE743EA745}"/>
    <cellStyle name="Normal 11 2 7 4 4" xfId="818" xr:uid="{B55BA73F-347C-49AC-BA3A-2A797CA3B189}"/>
    <cellStyle name="Normal 11 2 7 5" xfId="195" xr:uid="{B0845CF3-2158-48AC-8411-2AA1724A7743}"/>
    <cellStyle name="Normal 11 2 7 5 2" xfId="569" xr:uid="{95AF2F12-5C94-45BF-AFE1-B568F9F5000A}"/>
    <cellStyle name="Normal 11 2 7 5 2 2" xfId="1317" xr:uid="{55DAEE44-4C6A-4FBE-8EAB-C810869CE68E}"/>
    <cellStyle name="Normal 11 2 7 5 3" xfId="943" xr:uid="{CAB3D3C2-7C09-4F4F-AC02-0AC614ABE355}"/>
    <cellStyle name="Normal 11 2 7 6" xfId="416" xr:uid="{A3E11F7A-F635-4E22-BF00-E65EED9A36D2}"/>
    <cellStyle name="Normal 11 2 7 6 2" xfId="1164" xr:uid="{8A2D4664-13AA-4A33-9405-578B55580D7C}"/>
    <cellStyle name="Normal 11 2 7 7" xfId="790" xr:uid="{0EAD3567-7C25-46C9-9E18-B60DE65183F4}"/>
    <cellStyle name="Normal 11 2 8" xfId="27" xr:uid="{F9B55F39-B725-4E48-8869-AE2880940817}"/>
    <cellStyle name="Normal 11 2 8 2" xfId="75" xr:uid="{CFDC8195-AB36-456C-8BA0-DB77DBD15761}"/>
    <cellStyle name="Normal 11 2 8 2 2" xfId="238" xr:uid="{CB9D0021-BB90-405D-BE56-E3E818F485C7}"/>
    <cellStyle name="Normal 11 2 8 2 2 2" xfId="612" xr:uid="{849B9E00-E3A6-4B14-ADF9-2FAB885D06EB}"/>
    <cellStyle name="Normal 11 2 8 2 2 2 2" xfId="1360" xr:uid="{FD163DBC-06FF-4C95-A51D-BBA56393F7F7}"/>
    <cellStyle name="Normal 11 2 8 2 2 3" xfId="986" xr:uid="{27219109-90FF-4166-86EB-C33173931DFB}"/>
    <cellStyle name="Normal 11 2 8 2 3" xfId="449" xr:uid="{2651676B-4653-4DF3-98AC-96E6A24395D4}"/>
    <cellStyle name="Normal 11 2 8 2 3 2" xfId="1197" xr:uid="{8BA66EFE-B355-41E2-B62D-BDA465E49975}"/>
    <cellStyle name="Normal 11 2 8 2 4" xfId="823" xr:uid="{2C862478-BC1C-4430-B748-86F0A6FE243E}"/>
    <cellStyle name="Normal 11 2 8 3" xfId="169" xr:uid="{3DD0C301-27B4-41F6-AA53-FC53603A5250}"/>
    <cellStyle name="Normal 11 2 8 3 2" xfId="543" xr:uid="{2B6A232A-3ACB-4CE5-9C0B-5B5CFEE0D0D6}"/>
    <cellStyle name="Normal 11 2 8 3 2 2" xfId="1291" xr:uid="{325CE2DD-39D8-436E-AB89-225730645607}"/>
    <cellStyle name="Normal 11 2 8 3 3" xfId="917" xr:uid="{26160A54-CCE0-45C5-AC7D-73308FB78D2D}"/>
    <cellStyle name="Normal 11 2 8 4" xfId="401" xr:uid="{2984CDFC-B72C-463F-9275-2726A8A2B5FB}"/>
    <cellStyle name="Normal 11 2 8 4 2" xfId="1149" xr:uid="{07F9E933-65B4-4875-88A7-5269A010E39E}"/>
    <cellStyle name="Normal 11 2 8 5" xfId="775" xr:uid="{902C6FC5-9FD0-4988-9063-DA9F479D7209}"/>
    <cellStyle name="Normal 11 2 9" xfId="113" xr:uid="{8A22B91E-824B-4CDB-B626-4E18EC8BAC80}"/>
    <cellStyle name="Normal 11 2 9 2" xfId="276" xr:uid="{B06A28B7-3ACE-424E-B7E4-1F18572DDE51}"/>
    <cellStyle name="Normal 11 2 9 2 2" xfId="650" xr:uid="{814F0A3E-CEF3-4012-B233-D9307FAB99E4}"/>
    <cellStyle name="Normal 11 2 9 2 2 2" xfId="1398" xr:uid="{7C953C32-4B90-4382-95F4-AC49D1C68E02}"/>
    <cellStyle name="Normal 11 2 9 2 3" xfId="1024" xr:uid="{1B09C0EB-9230-45AF-B8CA-5FA56E3ADCD5}"/>
    <cellStyle name="Normal 11 2 9 3" xfId="487" xr:uid="{F93D964C-9244-406E-B783-FE6993F8A587}"/>
    <cellStyle name="Normal 11 2 9 3 2" xfId="1235" xr:uid="{0B5DE968-4322-4FA9-894C-A917AEC9CBD8}"/>
    <cellStyle name="Normal 11 2 9 4" xfId="861" xr:uid="{3D3F5A72-85C4-4575-9D13-D2CB1F6FEC36}"/>
    <cellStyle name="Normal 11 3" xfId="4" xr:uid="{FB77567F-ABC0-44B1-B815-4F95F1961D6A}"/>
    <cellStyle name="Normal 11 3 10" xfId="167" xr:uid="{C37FFEB5-C3EF-4162-916C-08CBE097BB95}"/>
    <cellStyle name="Normal 11 3 10 2" xfId="541" xr:uid="{5A8DEDCF-0A64-4536-9A35-80DD10AF611A}"/>
    <cellStyle name="Normal 11 3 10 2 2" xfId="1289" xr:uid="{92BC89A5-8B0A-4141-8B88-28F6573F8EF7}"/>
    <cellStyle name="Normal 11 3 10 3" xfId="915" xr:uid="{5363F8CA-6331-4A90-AAF3-6CCF7A9892D1}"/>
    <cellStyle name="Normal 11 3 11" xfId="332" xr:uid="{82137538-CD48-4F6D-A489-679DC1EE0B0C}"/>
    <cellStyle name="Normal 11 3 11 2" xfId="706" xr:uid="{604A396F-D0D8-4C24-9CB9-AC2B51021840}"/>
    <cellStyle name="Normal 11 3 11 2 2" xfId="1454" xr:uid="{FCF7280B-7BD4-48F6-AEF2-1667A289ECA1}"/>
    <cellStyle name="Normal 11 3 11 3" xfId="1080" xr:uid="{A9647096-C9A8-4343-BC01-36B1DCCDF0EB}"/>
    <cellStyle name="Normal 11 3 12" xfId="357" xr:uid="{84BC6C43-CC54-4294-811F-A213628A9D2D}"/>
    <cellStyle name="Normal 11 3 12 2" xfId="731" xr:uid="{1E0AEA98-E866-4EAC-91F0-2CB4BACDAA66}"/>
    <cellStyle name="Normal 11 3 12 2 2" xfId="1479" xr:uid="{C165DE1C-F3D0-4AC9-9734-936253BCDF6A}"/>
    <cellStyle name="Normal 11 3 12 3" xfId="1105" xr:uid="{8EDF6308-853D-4979-A324-531DDA23269A}"/>
    <cellStyle name="Normal 11 3 13" xfId="378" xr:uid="{CD8774EE-F657-4131-9743-3B69FA2479AE}"/>
    <cellStyle name="Normal 11 3 13 2" xfId="1126" xr:uid="{B4909DE3-0A63-4D22-A967-8A6634F9F36E}"/>
    <cellStyle name="Normal 11 3 14" xfId="752" xr:uid="{863F90AE-BDB4-4104-ABAA-FE4118B20FC5}"/>
    <cellStyle name="Normal 11 3 2" xfId="14" xr:uid="{F003BA29-71CC-47CB-BD93-B14F8348EA7F}"/>
    <cellStyle name="Normal 11 3 2 10" xfId="388" xr:uid="{0A08A450-0134-425C-B536-DCB00922F9F8}"/>
    <cellStyle name="Normal 11 3 2 10 2" xfId="1136" xr:uid="{55DC5CC9-3DB8-47C4-A9E4-33C85817B181}"/>
    <cellStyle name="Normal 11 3 2 11" xfId="762" xr:uid="{E8164819-43A1-464F-88AE-1098A1630421}"/>
    <cellStyle name="Normal 11 3 2 2" xfId="35" xr:uid="{DA4E0EE4-2AE3-47F3-A8A1-B1F95C101441}"/>
    <cellStyle name="Normal 11 3 2 2 2" xfId="130" xr:uid="{50665350-C39B-46B7-99E3-174328359F14}"/>
    <cellStyle name="Normal 11 3 2 2 2 2" xfId="293" xr:uid="{94559AA4-B736-4E22-8A35-D510F95A714E}"/>
    <cellStyle name="Normal 11 3 2 2 2 2 2" xfId="667" xr:uid="{AD90AF65-EFF1-463C-9844-47EAE3247AC5}"/>
    <cellStyle name="Normal 11 3 2 2 2 2 2 2" xfId="1415" xr:uid="{D7FB749F-D0E0-4360-81E3-064048F0E5F2}"/>
    <cellStyle name="Normal 11 3 2 2 2 2 3" xfId="1041" xr:uid="{6785A23A-075A-4FD7-BD26-1A505C4B0C1D}"/>
    <cellStyle name="Normal 11 3 2 2 2 3" xfId="504" xr:uid="{C370F4BF-7386-4BB1-9EBD-CBC117A0E720}"/>
    <cellStyle name="Normal 11 3 2 2 2 3 2" xfId="1252" xr:uid="{37218A6A-342D-48F0-9178-C5919239D7F3}"/>
    <cellStyle name="Normal 11 3 2 2 2 4" xfId="878" xr:uid="{C3F20F85-957A-4961-AD46-E9AC4EC810D5}"/>
    <cellStyle name="Normal 11 3 2 2 3" xfId="92" xr:uid="{EA3F80F5-8165-4CBB-A39E-44AFD9FA010D}"/>
    <cellStyle name="Normal 11 3 2 2 3 2" xfId="255" xr:uid="{E9233220-D173-4651-AA2F-BAB94A66F022}"/>
    <cellStyle name="Normal 11 3 2 2 3 2 2" xfId="629" xr:uid="{D42602CE-02C1-473B-9606-1C0F692CBDE2}"/>
    <cellStyle name="Normal 11 3 2 2 3 2 2 2" xfId="1377" xr:uid="{A98DF19B-4FB7-4F77-AA6F-4C0A99F3BB45}"/>
    <cellStyle name="Normal 11 3 2 2 3 2 3" xfId="1003" xr:uid="{FBECB113-D607-4C3C-8A17-CE34BC803417}"/>
    <cellStyle name="Normal 11 3 2 2 3 3" xfId="466" xr:uid="{4604E807-9A44-45B5-B02B-7BA174EB95AD}"/>
    <cellStyle name="Normal 11 3 2 2 3 3 2" xfId="1214" xr:uid="{7F08D675-3A22-4C75-8363-6750EA22F393}"/>
    <cellStyle name="Normal 11 3 2 2 3 4" xfId="840" xr:uid="{C81EA06D-6B1F-4197-A6F9-9AB86B8DFFE5}"/>
    <cellStyle name="Normal 11 3 2 2 4" xfId="61" xr:uid="{13557166-6780-4146-9CE9-74D7C00D01A4}"/>
    <cellStyle name="Normal 11 3 2 2 4 2" xfId="224" xr:uid="{E162D409-04ED-4A13-9DCD-19D542E763AC}"/>
    <cellStyle name="Normal 11 3 2 2 4 2 2" xfId="598" xr:uid="{8BA88FAD-010D-4D90-A2E0-99AC4139DA85}"/>
    <cellStyle name="Normal 11 3 2 2 4 2 2 2" xfId="1346" xr:uid="{927BD06F-6060-443C-A394-DFE8DB0D99F6}"/>
    <cellStyle name="Normal 11 3 2 2 4 2 3" xfId="972" xr:uid="{503E376F-9574-4B34-8FA2-7BD5CBE9A164}"/>
    <cellStyle name="Normal 11 3 2 2 4 3" xfId="435" xr:uid="{5F66DEBD-0372-4D34-B408-74AD3AC576A1}"/>
    <cellStyle name="Normal 11 3 2 2 4 3 2" xfId="1183" xr:uid="{94617E4D-803B-44DE-B81A-9E671BBA13A2}"/>
    <cellStyle name="Normal 11 3 2 2 4 4" xfId="809" xr:uid="{3814ECD2-5BCF-4AB7-A77F-9449DD8EDED0}"/>
    <cellStyle name="Normal 11 3 2 2 5" xfId="186" xr:uid="{9C16F7A1-9A35-4AD7-AAEE-32EB31A6E2B6}"/>
    <cellStyle name="Normal 11 3 2 2 5 2" xfId="560" xr:uid="{8A48B484-8094-4DF3-9AA5-BA367E63DE91}"/>
    <cellStyle name="Normal 11 3 2 2 5 2 2" xfId="1308" xr:uid="{04D788D4-7957-4F3F-A3D3-4C3547F6F317}"/>
    <cellStyle name="Normal 11 3 2 2 5 3" xfId="934" xr:uid="{47773859-D4B2-462C-BC37-F94D5A803108}"/>
    <cellStyle name="Normal 11 3 2 2 6" xfId="409" xr:uid="{3177CAAD-E7C7-4D21-B179-B7036F58D8D2}"/>
    <cellStyle name="Normal 11 3 2 2 6 2" xfId="1157" xr:uid="{1BF4C815-A4A8-4147-9EF9-97AEC06FC5DB}"/>
    <cellStyle name="Normal 11 3 2 2 7" xfId="783" xr:uid="{2A5A2F9F-9B63-4C94-B7CE-A841FD2305D9}"/>
    <cellStyle name="Normal 11 3 2 3" xfId="120" xr:uid="{E6FF32F8-E0F7-4966-AF87-83AA40864920}"/>
    <cellStyle name="Normal 11 3 2 3 2" xfId="283" xr:uid="{81AD3BF0-53F8-449D-B652-EAF6207961A7}"/>
    <cellStyle name="Normal 11 3 2 3 2 2" xfId="657" xr:uid="{2CB4632F-E16F-476C-AAF9-3B46012E38D3}"/>
    <cellStyle name="Normal 11 3 2 3 2 2 2" xfId="1405" xr:uid="{1A2C8245-7E5F-4208-A21E-03EF65F2D541}"/>
    <cellStyle name="Normal 11 3 2 3 2 3" xfId="1031" xr:uid="{22D16379-7D25-45EE-A842-ACDFAFF114BA}"/>
    <cellStyle name="Normal 11 3 2 3 3" xfId="494" xr:uid="{349A8961-79C0-4D76-AA12-13150B8487D3}"/>
    <cellStyle name="Normal 11 3 2 3 3 2" xfId="1242" xr:uid="{FF439777-AEE9-4E50-BAAD-D934CE323136}"/>
    <cellStyle name="Normal 11 3 2 3 4" xfId="868" xr:uid="{25FD079B-9924-4E2F-927E-12F7550D697A}"/>
    <cellStyle name="Normal 11 3 2 4" xfId="82" xr:uid="{D56F619B-DF0A-4C9E-95DF-DB6AE1325372}"/>
    <cellStyle name="Normal 11 3 2 4 2" xfId="245" xr:uid="{C503C0FE-24C9-4CEB-9809-6606110A3E19}"/>
    <cellStyle name="Normal 11 3 2 4 2 2" xfId="619" xr:uid="{5072132C-B9A6-4488-8391-340F3ABA578D}"/>
    <cellStyle name="Normal 11 3 2 4 2 2 2" xfId="1367" xr:uid="{E376BD95-4AEC-446B-8FE0-2FB808ED9958}"/>
    <cellStyle name="Normal 11 3 2 4 2 3" xfId="993" xr:uid="{35D63F27-7456-4265-97CF-0E2A9EF54829}"/>
    <cellStyle name="Normal 11 3 2 4 3" xfId="456" xr:uid="{4378F6A7-2702-44E2-ACE6-80201C01DB2F}"/>
    <cellStyle name="Normal 11 3 2 4 3 2" xfId="1204" xr:uid="{54952ECB-4653-4DD0-BDCA-41660360D04A}"/>
    <cellStyle name="Normal 11 3 2 4 4" xfId="830" xr:uid="{DDC46605-63A1-4C26-B34E-0B89F0A09625}"/>
    <cellStyle name="Normal 11 3 2 5" xfId="51" xr:uid="{475105F3-8CDE-4421-A03D-2FBBF811E556}"/>
    <cellStyle name="Normal 11 3 2 5 2" xfId="214" xr:uid="{949C04ED-6253-4E13-8B62-53D62211B461}"/>
    <cellStyle name="Normal 11 3 2 5 2 2" xfId="588" xr:uid="{457B27F0-FA43-48CC-B595-307D57E64C0B}"/>
    <cellStyle name="Normal 11 3 2 5 2 2 2" xfId="1336" xr:uid="{6DBCBCB7-0DC3-480A-B35B-B8934D626C0B}"/>
    <cellStyle name="Normal 11 3 2 5 2 3" xfId="962" xr:uid="{008B02E3-45FE-4902-BEB8-840DCEFCCCE1}"/>
    <cellStyle name="Normal 11 3 2 5 3" xfId="425" xr:uid="{CA28AD8C-AFB7-49EA-BABB-C64F917AA336}"/>
    <cellStyle name="Normal 11 3 2 5 3 2" xfId="1173" xr:uid="{25B8DBAD-86A7-4904-A363-98554F34DE95}"/>
    <cellStyle name="Normal 11 3 2 5 4" xfId="799" xr:uid="{535572D6-8AEB-4B40-B9EE-0E1FB6D46E7B}"/>
    <cellStyle name="Normal 11 3 2 6" xfId="152" xr:uid="{8AFE2B42-AA27-404C-BA7C-7577802119AA}"/>
    <cellStyle name="Normal 11 3 2 6 2" xfId="315" xr:uid="{D53AE1BA-7807-420E-99DB-C3124841F809}"/>
    <cellStyle name="Normal 11 3 2 6 2 2" xfId="689" xr:uid="{5E87FE8E-2602-40DA-A715-87B4513822BE}"/>
    <cellStyle name="Normal 11 3 2 6 2 2 2" xfId="1437" xr:uid="{5BA9C7E0-9B5E-4AB0-9BE6-1DA25D6984C0}"/>
    <cellStyle name="Normal 11 3 2 6 2 3" xfId="1063" xr:uid="{8423D8A7-B57E-4A24-AC7B-A74FD4E43274}"/>
    <cellStyle name="Normal 11 3 2 6 3" xfId="526" xr:uid="{438C53B3-3A75-4C81-BCFD-EF729B6848FF}"/>
    <cellStyle name="Normal 11 3 2 6 3 2" xfId="1274" xr:uid="{29B41039-5DA1-4344-8B72-EB8B275315BE}"/>
    <cellStyle name="Normal 11 3 2 6 4" xfId="900" xr:uid="{72AD3C45-5422-40EA-AFD6-747121BD8FE5}"/>
    <cellStyle name="Normal 11 3 2 7" xfId="176" xr:uid="{3EDA44F2-A3A0-445C-8C15-2E538A1BAA2A}"/>
    <cellStyle name="Normal 11 3 2 7 2" xfId="550" xr:uid="{3293A433-86A7-4121-B05B-5B02B16232C9}"/>
    <cellStyle name="Normal 11 3 2 7 2 2" xfId="1298" xr:uid="{D92AF8D3-510F-46CD-A778-5ABA95B42A4B}"/>
    <cellStyle name="Normal 11 3 2 7 3" xfId="924" xr:uid="{768D5E44-6E1B-4CC7-A70A-E7765AFD435E}"/>
    <cellStyle name="Normal 11 3 2 8" xfId="339" xr:uid="{B318FFEF-D0F5-4BC4-A936-CBE0088EF9F4}"/>
    <cellStyle name="Normal 11 3 2 8 2" xfId="713" xr:uid="{FB3F8107-32F4-4CF3-B767-3BCEFFA0546F}"/>
    <cellStyle name="Normal 11 3 2 8 2 2" xfId="1461" xr:uid="{221A4AA7-A535-4BF5-8227-EFC0D3DD93DB}"/>
    <cellStyle name="Normal 11 3 2 8 3" xfId="1087" xr:uid="{184CD2E9-C0A1-4B32-BA09-4F3B054F74AE}"/>
    <cellStyle name="Normal 11 3 2 9" xfId="364" xr:uid="{9171A246-48BA-48E8-9D65-6E044EA35F4D}"/>
    <cellStyle name="Normal 11 3 2 9 2" xfId="738" xr:uid="{F1A3423A-CA54-4D5C-BEDD-06271F12802B}"/>
    <cellStyle name="Normal 11 3 2 9 2 2" xfId="1486" xr:uid="{851C459A-293E-4499-948D-582A5AF58F55}"/>
    <cellStyle name="Normal 11 3 2 9 3" xfId="1112" xr:uid="{E090241E-7665-4DA8-BF3E-5A5198BF494B}"/>
    <cellStyle name="Normal 11 3 3" xfId="30" xr:uid="{E51B8DAB-7F86-4234-9BE7-F71FB474EDB4}"/>
    <cellStyle name="Normal 11 3 3 2" xfId="124" xr:uid="{E52E153C-5979-4E86-BBD1-CC116CB7D64D}"/>
    <cellStyle name="Normal 11 3 3 2 2" xfId="287" xr:uid="{E5AE6B35-1EEF-4E89-906D-49C899F7B129}"/>
    <cellStyle name="Normal 11 3 3 2 2 2" xfId="661" xr:uid="{A16C16C0-0C6D-4530-B0CE-C7F39680645F}"/>
    <cellStyle name="Normal 11 3 3 2 2 2 2" xfId="1409" xr:uid="{75798AEB-54CC-47F1-863F-3B41D191938C}"/>
    <cellStyle name="Normal 11 3 3 2 2 3" xfId="1035" xr:uid="{A4112151-F9EF-489A-BA13-FF6800ACB893}"/>
    <cellStyle name="Normal 11 3 3 2 3" xfId="498" xr:uid="{550245BB-ADB3-4C82-9DE4-74EC85611E59}"/>
    <cellStyle name="Normal 11 3 3 2 3 2" xfId="1246" xr:uid="{27416059-4BCC-4E36-996F-7510DC7172F7}"/>
    <cellStyle name="Normal 11 3 3 2 4" xfId="872" xr:uid="{E4BF03C7-DEBF-43B7-9798-93C5252DFC13}"/>
    <cellStyle name="Normal 11 3 3 3" xfId="86" xr:uid="{4C3EC440-8E0D-4212-969E-542BC8674A5E}"/>
    <cellStyle name="Normal 11 3 3 3 2" xfId="249" xr:uid="{08F84CC6-80AB-4EE3-B14F-52980549B2F2}"/>
    <cellStyle name="Normal 11 3 3 3 2 2" xfId="623" xr:uid="{9D8467BB-B00D-4F2C-AD2A-F2332851223F}"/>
    <cellStyle name="Normal 11 3 3 3 2 2 2" xfId="1371" xr:uid="{80D6C282-6C77-4B5D-AC44-F147F3E29302}"/>
    <cellStyle name="Normal 11 3 3 3 2 3" xfId="997" xr:uid="{4C7BA4A1-0C85-4216-861A-CFD96E1D535A}"/>
    <cellStyle name="Normal 11 3 3 3 3" xfId="460" xr:uid="{2D02F29A-0683-4168-AE4C-0875FDDFE19B}"/>
    <cellStyle name="Normal 11 3 3 3 3 2" xfId="1208" xr:uid="{7D9FEF40-1302-4ED9-97F6-BFBD981F12F1}"/>
    <cellStyle name="Normal 11 3 3 3 4" xfId="834" xr:uid="{6932E98D-A3B2-40FA-8ECB-2C6121EA16B3}"/>
    <cellStyle name="Normal 11 3 3 4" xfId="55" xr:uid="{8DD6BA38-3C01-4BFF-9530-AD536F799811}"/>
    <cellStyle name="Normal 11 3 3 4 2" xfId="218" xr:uid="{7C4B442A-1D36-44A0-BC2C-6857C5B8CC76}"/>
    <cellStyle name="Normal 11 3 3 4 2 2" xfId="592" xr:uid="{B8452127-96A6-48E4-B484-DF592003F5A2}"/>
    <cellStyle name="Normal 11 3 3 4 2 2 2" xfId="1340" xr:uid="{EA2AE6A3-41C5-405D-89BB-F0B505222B22}"/>
    <cellStyle name="Normal 11 3 3 4 2 3" xfId="966" xr:uid="{7358F13C-E97A-4D31-B8BB-10D34CE89B26}"/>
    <cellStyle name="Normal 11 3 3 4 3" xfId="429" xr:uid="{FCC1F8B8-C410-41E9-A7D3-C66571C74BA8}"/>
    <cellStyle name="Normal 11 3 3 4 3 2" xfId="1177" xr:uid="{5D4C3FCE-F199-4835-899E-668F5A0E6B46}"/>
    <cellStyle name="Normal 11 3 3 4 4" xfId="803" xr:uid="{F1D95CC9-8B4C-4097-BD4A-FED4C8F96351}"/>
    <cellStyle name="Normal 11 3 3 5" xfId="180" xr:uid="{EB10CC54-034D-4CBA-B646-DF82F2731552}"/>
    <cellStyle name="Normal 11 3 3 5 2" xfId="554" xr:uid="{E6CE82F3-8F5B-4BF8-93D2-651A79139160}"/>
    <cellStyle name="Normal 11 3 3 5 2 2" xfId="1302" xr:uid="{AEF0C2C6-93BB-4F7F-83D5-26F9AB84FA9A}"/>
    <cellStyle name="Normal 11 3 3 5 3" xfId="928" xr:uid="{2763CB4F-8913-4A8B-99EB-7C23CDFD5FD8}"/>
    <cellStyle name="Normal 11 3 3 6" xfId="404" xr:uid="{771893EA-89C9-408F-86BE-B6A46E1267B2}"/>
    <cellStyle name="Normal 11 3 3 6 2" xfId="1152" xr:uid="{653BE81A-99D3-4E87-A828-7CE3AE9BB206}"/>
    <cellStyle name="Normal 11 3 3 7" xfId="778" xr:uid="{C913218C-EC9E-43E4-A987-E78D5EE6F900}"/>
    <cellStyle name="Normal 11 3 4" xfId="40" xr:uid="{0E3C8437-68DF-4BBA-9FE9-2749BB6219F0}"/>
    <cellStyle name="Normal 11 3 4 2" xfId="136" xr:uid="{ACC3FBF5-A9FF-45B8-82D0-0B3A8B044FB4}"/>
    <cellStyle name="Normal 11 3 4 2 2" xfId="299" xr:uid="{D66A26F5-0304-4921-B0B2-7BEBD29F8CAF}"/>
    <cellStyle name="Normal 11 3 4 2 2 2" xfId="673" xr:uid="{06AC0474-AD15-4199-B023-1AA0ECA16D55}"/>
    <cellStyle name="Normal 11 3 4 2 2 2 2" xfId="1421" xr:uid="{E9999033-1536-49BB-9776-679FC9D5905D}"/>
    <cellStyle name="Normal 11 3 4 2 2 3" xfId="1047" xr:uid="{678E0504-3166-48AC-AAE0-0A820299BE36}"/>
    <cellStyle name="Normal 11 3 4 2 3" xfId="510" xr:uid="{06C1EF4D-17A2-4A3B-A39A-7406F0E4C0E8}"/>
    <cellStyle name="Normal 11 3 4 2 3 2" xfId="1258" xr:uid="{AE8CDE7F-8E51-459D-B054-1BAC61012FEC}"/>
    <cellStyle name="Normal 11 3 4 2 4" xfId="884" xr:uid="{16C4B10C-7C8C-4479-B684-9EA29E6EC6AD}"/>
    <cellStyle name="Normal 11 3 4 3" xfId="98" xr:uid="{A37B469F-13E4-457A-A412-75EFB574792D}"/>
    <cellStyle name="Normal 11 3 4 3 2" xfId="261" xr:uid="{312A6755-AE83-47DB-981A-3C63EE367BB3}"/>
    <cellStyle name="Normal 11 3 4 3 2 2" xfId="635" xr:uid="{6DB91B1E-68EE-47CB-87A8-B343AFBF9E25}"/>
    <cellStyle name="Normal 11 3 4 3 2 2 2" xfId="1383" xr:uid="{6292B869-038E-479C-96C9-285B3B892C19}"/>
    <cellStyle name="Normal 11 3 4 3 2 3" xfId="1009" xr:uid="{2963E8D6-CBEA-4B94-9022-8F82A7AB4F1D}"/>
    <cellStyle name="Normal 11 3 4 3 3" xfId="472" xr:uid="{8BA46132-62ED-421F-8ED2-60894EEF2EAD}"/>
    <cellStyle name="Normal 11 3 4 3 3 2" xfId="1220" xr:uid="{D7006963-B89C-43E2-BDFA-CBDA27667DBC}"/>
    <cellStyle name="Normal 11 3 4 3 4" xfId="846" xr:uid="{3666CF24-E69A-4DB6-9B2F-33DD43381831}"/>
    <cellStyle name="Normal 11 3 4 4" xfId="67" xr:uid="{CA5B88A2-84AF-48BE-A9CA-3F6F23A52C18}"/>
    <cellStyle name="Normal 11 3 4 4 2" xfId="230" xr:uid="{C066972B-FAC0-4FFC-AF91-F4031B7D741A}"/>
    <cellStyle name="Normal 11 3 4 4 2 2" xfId="604" xr:uid="{32EC468F-95C0-4677-853D-E02F326144F7}"/>
    <cellStyle name="Normal 11 3 4 4 2 2 2" xfId="1352" xr:uid="{4294CF9D-4600-4B74-80F2-F4A8BFBFA468}"/>
    <cellStyle name="Normal 11 3 4 4 2 3" xfId="978" xr:uid="{78E3E673-A2F9-459E-9BB3-8EDC9A26F5C1}"/>
    <cellStyle name="Normal 11 3 4 4 3" xfId="441" xr:uid="{38C1413A-EE8D-4B5E-AB82-B9D454FD0583}"/>
    <cellStyle name="Normal 11 3 4 4 3 2" xfId="1189" xr:uid="{1B4A68D4-6E13-48ED-934F-F8E0F60B8998}"/>
    <cellStyle name="Normal 11 3 4 4 4" xfId="815" xr:uid="{FBBD0E65-B3D2-4461-A884-0CA16914CD52}"/>
    <cellStyle name="Normal 11 3 4 5" xfId="192" xr:uid="{48B836DD-B8D3-468D-A8B7-A6C3A8D0A985}"/>
    <cellStyle name="Normal 11 3 4 5 2" xfId="566" xr:uid="{B7AA43FE-2C2A-4351-B725-755530354FFA}"/>
    <cellStyle name="Normal 11 3 4 5 2 2" xfId="1314" xr:uid="{E49619A6-5D95-4975-835C-470AFEB7F6D9}"/>
    <cellStyle name="Normal 11 3 4 5 3" xfId="940" xr:uid="{53808F73-C843-4487-8FF9-CCB6B4746075}"/>
    <cellStyle name="Normal 11 3 4 6" xfId="414" xr:uid="{A8AE90D4-163E-47AC-A53D-2531AF39353B}"/>
    <cellStyle name="Normal 11 3 4 6 2" xfId="1162" xr:uid="{1A873BFA-A0C6-4BBB-A556-719C10FBF1D8}"/>
    <cellStyle name="Normal 11 3 4 7" xfId="788" xr:uid="{B1E524A9-981D-48D7-BB2E-4534EFF5FF46}"/>
    <cellStyle name="Normal 11 3 5" xfId="28" xr:uid="{8B1E8A64-655F-4595-A7EB-2565E2FF9A31}"/>
    <cellStyle name="Normal 11 3 5 2" xfId="76" xr:uid="{8C08D346-BD00-4F31-9C92-78CE691FB4C5}"/>
    <cellStyle name="Normal 11 3 5 2 2" xfId="239" xr:uid="{EDC0FEAF-E294-4C12-96E7-F6A85E27EBC9}"/>
    <cellStyle name="Normal 11 3 5 2 2 2" xfId="613" xr:uid="{B6493E6E-625A-48F9-AAC9-124AD10773CA}"/>
    <cellStyle name="Normal 11 3 5 2 2 2 2" xfId="1361" xr:uid="{6E1D3AD0-61E6-4484-A548-380719681C7C}"/>
    <cellStyle name="Normal 11 3 5 2 2 3" xfId="987" xr:uid="{3ABD4BC5-42DB-48A1-AF50-D283018B24BB}"/>
    <cellStyle name="Normal 11 3 5 2 3" xfId="450" xr:uid="{5C89756D-0968-4E5F-9F66-D4F99055E4FA}"/>
    <cellStyle name="Normal 11 3 5 2 3 2" xfId="1198" xr:uid="{5475DFFB-A014-4F8E-9141-70469828EFB5}"/>
    <cellStyle name="Normal 11 3 5 2 4" xfId="824" xr:uid="{F1DC19BB-3A01-4F22-AF55-72E3D8D5117D}"/>
    <cellStyle name="Normal 11 3 5 3" xfId="170" xr:uid="{918458F6-3922-4100-AFDC-05993D321923}"/>
    <cellStyle name="Normal 11 3 5 3 2" xfId="544" xr:uid="{001A93F4-030C-4BD8-AA9B-3CD0F2226467}"/>
    <cellStyle name="Normal 11 3 5 3 2 2" xfId="1292" xr:uid="{E7BB0F58-E5BB-4A4E-A5FF-D453C56DB5D9}"/>
    <cellStyle name="Normal 11 3 5 3 3" xfId="918" xr:uid="{27875859-E577-4171-888A-E00A06875F9D}"/>
    <cellStyle name="Normal 11 3 5 4" xfId="402" xr:uid="{86CC94C7-F97E-455A-90AD-D9528F80E8CA}"/>
    <cellStyle name="Normal 11 3 5 4 2" xfId="1150" xr:uid="{C37C5E03-EBED-4A2F-A648-757A2BAC7D10}"/>
    <cellStyle name="Normal 11 3 5 5" xfId="776" xr:uid="{5AA92B33-26E2-48D3-AD56-0BF082B3FAC7}"/>
    <cellStyle name="Normal 11 3 6" xfId="114" xr:uid="{A2B9EAB3-03A8-4D80-B104-F06A379A750A}"/>
    <cellStyle name="Normal 11 3 6 2" xfId="277" xr:uid="{7D2DFC13-46AF-478D-805D-B46671AB5EF5}"/>
    <cellStyle name="Normal 11 3 6 2 2" xfId="651" xr:uid="{A37C26AC-8501-420B-A9A0-247FCE996975}"/>
    <cellStyle name="Normal 11 3 6 2 2 2" xfId="1399" xr:uid="{9965B91B-E614-4CC7-B276-4940F3884DF3}"/>
    <cellStyle name="Normal 11 3 6 2 3" xfId="1025" xr:uid="{1197CC13-D98A-46AA-BDEC-0480CB331FB6}"/>
    <cellStyle name="Normal 11 3 6 3" xfId="488" xr:uid="{D7EE9361-2FF3-4BAA-AACB-9A45361B5967}"/>
    <cellStyle name="Normal 11 3 6 3 2" xfId="1236" xr:uid="{32A68E0F-4FD9-4E1F-A73B-5138A31CDF07}"/>
    <cellStyle name="Normal 11 3 6 4" xfId="862" xr:uid="{ABA4A0DA-7121-4449-AE69-D06B40057E69}"/>
    <cellStyle name="Normal 11 3 7" xfId="73" xr:uid="{C378D924-B8D0-4C96-AB25-274FDAF81BAD}"/>
    <cellStyle name="Normal 11 3 7 2" xfId="236" xr:uid="{61D575FD-E3FD-4EE0-9233-577E71DDAB74}"/>
    <cellStyle name="Normal 11 3 7 2 2" xfId="610" xr:uid="{15B4A549-7897-429A-BAA8-A0B7C2DD2DA4}"/>
    <cellStyle name="Normal 11 3 7 2 2 2" xfId="1358" xr:uid="{05DE73BB-FF86-44B5-87C3-EA7953F5FB6D}"/>
    <cellStyle name="Normal 11 3 7 2 3" xfId="984" xr:uid="{141CF94E-6BC2-4A0B-B0E7-F5BE67CC370C}"/>
    <cellStyle name="Normal 11 3 7 3" xfId="447" xr:uid="{6D9A6182-82F0-4C09-BB63-A07638D466E0}"/>
    <cellStyle name="Normal 11 3 7 3 2" xfId="1195" xr:uid="{AD6ADF1E-31D0-4B55-9A02-5EF23F95B614}"/>
    <cellStyle name="Normal 11 3 7 4" xfId="821" xr:uid="{DBA245BF-22CB-465C-9B1B-72A654FFA6D9}"/>
    <cellStyle name="Normal 11 3 8" xfId="45" xr:uid="{B2F83FA8-D987-4FFF-9036-B6E4E413AC7E}"/>
    <cellStyle name="Normal 11 3 8 2" xfId="208" xr:uid="{45A4485E-4BD9-4E11-91AC-BE486E063322}"/>
    <cellStyle name="Normal 11 3 8 2 2" xfId="582" xr:uid="{9D29A2B6-FB36-4BA5-A0DB-A3DBE1779EA4}"/>
    <cellStyle name="Normal 11 3 8 2 2 2" xfId="1330" xr:uid="{C0AC2045-5871-460D-B3AA-FB96A31B5F74}"/>
    <cellStyle name="Normal 11 3 8 2 3" xfId="956" xr:uid="{75DD316D-ADBB-48BB-8A60-B582238C7BD4}"/>
    <cellStyle name="Normal 11 3 8 3" xfId="419" xr:uid="{C24FC5E7-DBBF-426E-98D4-EFFEC062EBAD}"/>
    <cellStyle name="Normal 11 3 8 3 2" xfId="1167" xr:uid="{5C7D6E96-406B-4D92-A7D5-0E342F119FC7}"/>
    <cellStyle name="Normal 11 3 8 4" xfId="793" xr:uid="{D3F3CAAB-18E8-420B-9836-83F4FFAE1A79}"/>
    <cellStyle name="Normal 11 3 9" xfId="142" xr:uid="{AD0BA516-A72B-4AF2-9FB5-1129B9F301CF}"/>
    <cellStyle name="Normal 11 3 9 2" xfId="305" xr:uid="{17FB26BF-9F5B-4019-A1CD-93B861040B69}"/>
    <cellStyle name="Normal 11 3 9 2 2" xfId="679" xr:uid="{DC8B19B9-0722-4C51-83D9-27D9FDF10AFD}"/>
    <cellStyle name="Normal 11 3 9 2 2 2" xfId="1427" xr:uid="{0638AC9E-3DE9-4947-93A2-2CF04577D0B6}"/>
    <cellStyle name="Normal 11 3 9 2 3" xfId="1053" xr:uid="{078768E6-22EE-43A7-A10A-8D9686BEF5D3}"/>
    <cellStyle name="Normal 11 3 9 3" xfId="516" xr:uid="{FE7295DD-5985-4679-A148-E2B244C5C27D}"/>
    <cellStyle name="Normal 11 3 9 3 2" xfId="1264" xr:uid="{5BA73E31-C4EB-4C4C-B922-A3B428BD629D}"/>
    <cellStyle name="Normal 11 3 9 4" xfId="890" xr:uid="{AC3F4662-C2A6-4284-A99A-2F5C908CAB72}"/>
    <cellStyle name="Normal 11 4" xfId="9" xr:uid="{2BAFCB0D-160C-4841-8309-BEC7E381F86B}"/>
    <cellStyle name="Normal 11 4 10" xfId="354" xr:uid="{67B20191-37C3-402A-8462-523F2DB7EF86}"/>
    <cellStyle name="Normal 11 4 10 2" xfId="728" xr:uid="{54F0054E-A057-4F03-A270-95620AACBE34}"/>
    <cellStyle name="Normal 11 4 10 2 2" xfId="1476" xr:uid="{DA4D2B66-5907-4B6A-9B58-D6121D90C64F}"/>
    <cellStyle name="Normal 11 4 10 3" xfId="1102" xr:uid="{08635C12-CB2C-49E8-8EF4-A24ACAA6BD71}"/>
    <cellStyle name="Normal 11 4 11" xfId="383" xr:uid="{FD38E04F-9438-415E-8875-109AD46C8AD4}"/>
    <cellStyle name="Normal 11 4 11 2" xfId="1131" xr:uid="{39315768-FB50-419C-898B-39805C20BCDF}"/>
    <cellStyle name="Normal 11 4 12" xfId="757" xr:uid="{FC5CBE63-D2CA-4CA1-8AFA-786D23CF0CD1}"/>
    <cellStyle name="Normal 11 4 2" xfId="16" xr:uid="{E6028BAE-8099-40B2-8EC7-910FA14DE353}"/>
    <cellStyle name="Normal 11 4 2 10" xfId="764" xr:uid="{13B0CE64-C469-4438-9492-79D94BDCEBD7}"/>
    <cellStyle name="Normal 11 4 2 2" xfId="128" xr:uid="{3B30EC89-9270-45DA-B94B-2E3EC934DBD5}"/>
    <cellStyle name="Normal 11 4 2 2 2" xfId="291" xr:uid="{37E2662D-8597-4136-BF87-48C690E035FD}"/>
    <cellStyle name="Normal 11 4 2 2 2 2" xfId="665" xr:uid="{B60B93D5-7818-4670-A43D-982154D13DBE}"/>
    <cellStyle name="Normal 11 4 2 2 2 2 2" xfId="1413" xr:uid="{245B5E54-22FC-424E-B982-AF3E8A979EA1}"/>
    <cellStyle name="Normal 11 4 2 2 2 3" xfId="1039" xr:uid="{DF05687C-56BF-46E3-AF16-F39D641A0E56}"/>
    <cellStyle name="Normal 11 4 2 2 3" xfId="502" xr:uid="{943F6ECF-D9D9-4F52-BA01-B1BDD9C3A2A9}"/>
    <cellStyle name="Normal 11 4 2 2 3 2" xfId="1250" xr:uid="{6DC99162-0DEB-4B88-94B6-6B3F27B69535}"/>
    <cellStyle name="Normal 11 4 2 2 4" xfId="876" xr:uid="{B866B3D6-C176-4423-8477-6FCAABC934D7}"/>
    <cellStyle name="Normal 11 4 2 3" xfId="90" xr:uid="{DAC34B04-75C0-4C8B-9013-D516F5D9074F}"/>
    <cellStyle name="Normal 11 4 2 3 2" xfId="253" xr:uid="{2B790C1C-84B3-4282-999F-2A6D8F6C509C}"/>
    <cellStyle name="Normal 11 4 2 3 2 2" xfId="627" xr:uid="{7F7CF76A-B295-4307-9597-8AAC680B94F5}"/>
    <cellStyle name="Normal 11 4 2 3 2 2 2" xfId="1375" xr:uid="{E7505243-32BD-4ADD-A9A5-2C48C79DFBF2}"/>
    <cellStyle name="Normal 11 4 2 3 2 3" xfId="1001" xr:uid="{E6A103CA-E057-4F49-BD79-33B57755926C}"/>
    <cellStyle name="Normal 11 4 2 3 3" xfId="464" xr:uid="{10AAE8C8-B9DC-4CEC-8305-1B81629803F0}"/>
    <cellStyle name="Normal 11 4 2 3 3 2" xfId="1212" xr:uid="{0ADABDB0-BAF9-49D2-8B42-3F0D5CC7AF66}"/>
    <cellStyle name="Normal 11 4 2 3 4" xfId="838" xr:uid="{366835C6-5663-40D5-97CB-8B1D19F3CE90}"/>
    <cellStyle name="Normal 11 4 2 4" xfId="59" xr:uid="{80F95083-EB46-4E46-AFFD-F1FAEA996FED}"/>
    <cellStyle name="Normal 11 4 2 4 2" xfId="222" xr:uid="{1DE28C82-EEC9-4916-9899-CA88DE4B40D9}"/>
    <cellStyle name="Normal 11 4 2 4 2 2" xfId="596" xr:uid="{6AE486D9-DFA8-4F12-9DAE-0FAC586CCD8E}"/>
    <cellStyle name="Normal 11 4 2 4 2 2 2" xfId="1344" xr:uid="{022CD865-02A7-4DFC-9086-845A31766103}"/>
    <cellStyle name="Normal 11 4 2 4 2 3" xfId="970" xr:uid="{9216BF81-41C6-40F0-BBFF-BD5A2F98AD6E}"/>
    <cellStyle name="Normal 11 4 2 4 3" xfId="433" xr:uid="{E09F84DB-AE67-4D7C-904A-B97F3C481134}"/>
    <cellStyle name="Normal 11 4 2 4 3 2" xfId="1181" xr:uid="{7FAFB4BC-F837-4D78-B438-FF82CDE0549E}"/>
    <cellStyle name="Normal 11 4 2 4 4" xfId="807" xr:uid="{7FB37F1F-76DC-4EB7-8823-5AC99E52ABEB}"/>
    <cellStyle name="Normal 11 4 2 5" xfId="154" xr:uid="{8352FED4-73C4-4E0B-A6EA-DF841CB0F0FE}"/>
    <cellStyle name="Normal 11 4 2 5 2" xfId="317" xr:uid="{4DF59946-B914-47E1-810F-B1203C150574}"/>
    <cellStyle name="Normal 11 4 2 5 2 2" xfId="691" xr:uid="{A7742473-E27E-4182-B5ED-1D55A7E525A5}"/>
    <cellStyle name="Normal 11 4 2 5 2 2 2" xfId="1439" xr:uid="{54984C40-EC2C-4106-AD6C-D0278846AB6B}"/>
    <cellStyle name="Normal 11 4 2 5 2 3" xfId="1065" xr:uid="{F11FB5DC-3B8F-4737-ADA6-F04A009843F1}"/>
    <cellStyle name="Normal 11 4 2 5 3" xfId="528" xr:uid="{BBA74881-2D3F-4B03-B688-AFE73ACAC065}"/>
    <cellStyle name="Normal 11 4 2 5 3 2" xfId="1276" xr:uid="{EBB721F1-4352-4A6F-95A4-3882ECDC67CF}"/>
    <cellStyle name="Normal 11 4 2 5 4" xfId="902" xr:uid="{41424B22-AF1C-4B39-8C0B-7DB0EDBA546F}"/>
    <cellStyle name="Normal 11 4 2 6" xfId="184" xr:uid="{0F5804BA-F878-4A5D-8574-3070931A3DC4}"/>
    <cellStyle name="Normal 11 4 2 6 2" xfId="558" xr:uid="{294766F9-A6C6-487F-8E58-74E688BD976A}"/>
    <cellStyle name="Normal 11 4 2 6 2 2" xfId="1306" xr:uid="{AD7F3E95-5905-43D8-B7C3-2DA2AD647359}"/>
    <cellStyle name="Normal 11 4 2 6 3" xfId="932" xr:uid="{B17BF2EF-B3D9-482A-9F8A-5B18CBFAF30D}"/>
    <cellStyle name="Normal 11 4 2 7" xfId="341" xr:uid="{E37325CA-5C59-4936-824F-3080217450DD}"/>
    <cellStyle name="Normal 11 4 2 7 2" xfId="715" xr:uid="{51946589-DC4D-4285-B185-6AF764605AD8}"/>
    <cellStyle name="Normal 11 4 2 7 2 2" xfId="1463" xr:uid="{010579C9-D767-4960-8E0E-2CE7EF3BCBA4}"/>
    <cellStyle name="Normal 11 4 2 7 3" xfId="1089" xr:uid="{383D8069-146D-4B8B-AC9E-D76CFE8E0CCA}"/>
    <cellStyle name="Normal 11 4 2 8" xfId="355" xr:uid="{B839CD84-5AEC-47A3-86AC-BACB20269DAF}"/>
    <cellStyle name="Normal 11 4 2 8 2" xfId="729" xr:uid="{7FF2D361-EDE8-4353-ADE6-071C709E6E54}"/>
    <cellStyle name="Normal 11 4 2 8 2 2" xfId="1477" xr:uid="{E7DDE101-174C-49DC-A767-84CA6602DAF8}"/>
    <cellStyle name="Normal 11 4 2 8 3" xfId="1103" xr:uid="{8480DAEC-5937-431D-8AFF-5E3A8F0B81F7}"/>
    <cellStyle name="Normal 11 4 2 9" xfId="390" xr:uid="{C9B25873-7555-42BC-9DD8-26DA8A6663A3}"/>
    <cellStyle name="Normal 11 4 2 9 2" xfId="1138" xr:uid="{BF173822-93B9-441D-9604-BCA7FEE4E51B}"/>
    <cellStyle name="Normal 11 4 3" xfId="38" xr:uid="{085D3201-7218-4672-87AC-E556A35F3428}"/>
    <cellStyle name="Normal 11 4 3 2" xfId="134" xr:uid="{B0814E8B-EDC3-4E06-AFEF-FF8AA5EA160C}"/>
    <cellStyle name="Normal 11 4 3 2 2" xfId="297" xr:uid="{37A967F7-97E5-4D29-9D01-335F2DA954F1}"/>
    <cellStyle name="Normal 11 4 3 2 2 2" xfId="671" xr:uid="{DB856261-B305-4EB4-B29D-FBC7ACAD9467}"/>
    <cellStyle name="Normal 11 4 3 2 2 2 2" xfId="1419" xr:uid="{FD75C36D-E9C7-4C37-AF46-C95A19D95B5D}"/>
    <cellStyle name="Normal 11 4 3 2 2 3" xfId="1045" xr:uid="{7EA2581D-92B0-46D8-9879-A11A8F57413A}"/>
    <cellStyle name="Normal 11 4 3 2 3" xfId="508" xr:uid="{C32636A9-2CE0-4F38-9788-EF066BB5A9DA}"/>
    <cellStyle name="Normal 11 4 3 2 3 2" xfId="1256" xr:uid="{06E0143B-1504-4435-ADD5-3B3F6E87C93A}"/>
    <cellStyle name="Normal 11 4 3 2 4" xfId="882" xr:uid="{E718BBCF-7174-4914-8719-6DDF605CCFE9}"/>
    <cellStyle name="Normal 11 4 3 3" xfId="96" xr:uid="{5CA339A4-3174-48D1-86B2-C95EE1CC9F6E}"/>
    <cellStyle name="Normal 11 4 3 3 2" xfId="259" xr:uid="{14679490-8EAA-4A9F-B8E5-BCCEFCD0F10F}"/>
    <cellStyle name="Normal 11 4 3 3 2 2" xfId="633" xr:uid="{B8A5E157-F36C-4C44-8559-43AA74BB4BAE}"/>
    <cellStyle name="Normal 11 4 3 3 2 2 2" xfId="1381" xr:uid="{970BE039-A71D-4BD1-ACE7-DC113FE26CD4}"/>
    <cellStyle name="Normal 11 4 3 3 2 3" xfId="1007" xr:uid="{C7CAC507-34EE-4D96-BAF8-0C45CD2C5063}"/>
    <cellStyle name="Normal 11 4 3 3 3" xfId="470" xr:uid="{C0F06788-667B-4B0F-9CA0-367CE08DE880}"/>
    <cellStyle name="Normal 11 4 3 3 3 2" xfId="1218" xr:uid="{E5E9EDE1-6F74-4BFB-B3DA-2E5465ED2A08}"/>
    <cellStyle name="Normal 11 4 3 3 4" xfId="844" xr:uid="{678776B5-4EC8-4CB3-95CE-2C49948A1A64}"/>
    <cellStyle name="Normal 11 4 3 4" xfId="65" xr:uid="{E26A2F8C-E77F-4FB5-A7F8-CE1EEF84EE71}"/>
    <cellStyle name="Normal 11 4 3 4 2" xfId="228" xr:uid="{8FEE826F-0D16-4752-A41D-EECBFCDC19FD}"/>
    <cellStyle name="Normal 11 4 3 4 2 2" xfId="602" xr:uid="{D40E2B34-421D-4DBA-9407-CA2558EFF70E}"/>
    <cellStyle name="Normal 11 4 3 4 2 2 2" xfId="1350" xr:uid="{257BEC57-2D4C-4A81-802B-665AC0190722}"/>
    <cellStyle name="Normal 11 4 3 4 2 3" xfId="976" xr:uid="{BB32297C-9A87-4144-A2C0-7E8526B812F0}"/>
    <cellStyle name="Normal 11 4 3 4 3" xfId="439" xr:uid="{37B588A3-0024-44CA-9D16-3B396369375F}"/>
    <cellStyle name="Normal 11 4 3 4 3 2" xfId="1187" xr:uid="{AAD9B77C-288F-4AAE-BEA5-70967AD021BD}"/>
    <cellStyle name="Normal 11 4 3 4 4" xfId="813" xr:uid="{9589DEE7-36F0-4F81-B2EB-69E7F4578C9F}"/>
    <cellStyle name="Normal 11 4 3 5" xfId="190" xr:uid="{6CAC620C-EE30-45B2-8487-087F4D3B026C}"/>
    <cellStyle name="Normal 11 4 3 5 2" xfId="564" xr:uid="{C4934343-B0A5-4C1D-BCBB-7CEB7145B3C7}"/>
    <cellStyle name="Normal 11 4 3 5 2 2" xfId="1312" xr:uid="{C04E95E2-D126-4D6E-9F88-8689B60D1C44}"/>
    <cellStyle name="Normal 11 4 3 5 3" xfId="938" xr:uid="{B145347F-D4B7-4D86-B1B5-27A81DABF056}"/>
    <cellStyle name="Normal 11 4 3 6" xfId="412" xr:uid="{3BC08E00-1D0C-43C9-8BE6-F9181073EAB7}"/>
    <cellStyle name="Normal 11 4 3 6 2" xfId="1160" xr:uid="{C7CA0B33-0ABC-410D-82E0-152CF202D80B}"/>
    <cellStyle name="Normal 11 4 3 7" xfId="786" xr:uid="{4D03A62D-186D-4B01-AF26-AA6E36E6BD5C}"/>
    <cellStyle name="Normal 11 4 4" xfId="118" xr:uid="{912D674B-BE60-4F9B-9B9E-5B40BC107D2A}"/>
    <cellStyle name="Normal 11 4 4 2" xfId="281" xr:uid="{0E49ED7E-52AB-4C5C-A519-BB93712DAF8E}"/>
    <cellStyle name="Normal 11 4 4 2 2" xfId="655" xr:uid="{C1AE0B71-B5A7-492C-B609-C3E5C0A1C0BA}"/>
    <cellStyle name="Normal 11 4 4 2 2 2" xfId="1403" xr:uid="{5EF67373-4AD5-4A6A-8AE9-D3DA8BDF9016}"/>
    <cellStyle name="Normal 11 4 4 2 3" xfId="1029" xr:uid="{6F8AAAC1-906A-45DB-B6AE-C3353084BC38}"/>
    <cellStyle name="Normal 11 4 4 3" xfId="492" xr:uid="{851DA673-9080-4023-9AB2-3CDC8B976225}"/>
    <cellStyle name="Normal 11 4 4 3 2" xfId="1240" xr:uid="{CC63173A-AC43-4313-A1CC-BFF42AF062E8}"/>
    <cellStyle name="Normal 11 4 4 4" xfId="866" xr:uid="{B45D4BCA-BCC7-486B-9434-54AAF409322D}"/>
    <cellStyle name="Normal 11 4 5" xfId="80" xr:uid="{6AF34977-7732-45B2-9B63-D805E99419B9}"/>
    <cellStyle name="Normal 11 4 5 2" xfId="243" xr:uid="{AA26D169-0CD6-4592-892E-758F1BBAEFEE}"/>
    <cellStyle name="Normal 11 4 5 2 2" xfId="617" xr:uid="{43EF256F-4CE5-47F8-948D-E2C60486A900}"/>
    <cellStyle name="Normal 11 4 5 2 2 2" xfId="1365" xr:uid="{EEAF94F8-57E1-4D84-8071-3EE420C38C06}"/>
    <cellStyle name="Normal 11 4 5 2 3" xfId="991" xr:uid="{F317E19D-F57E-45EC-AB38-D29DADA82A91}"/>
    <cellStyle name="Normal 11 4 5 3" xfId="454" xr:uid="{6C0D6833-D7AD-4401-9460-B1BEAF3C0F0E}"/>
    <cellStyle name="Normal 11 4 5 3 2" xfId="1202" xr:uid="{975236D1-C90B-4BCE-BC4A-F8D073802A58}"/>
    <cellStyle name="Normal 11 4 5 4" xfId="828" xr:uid="{20E25F6C-07AC-4DC4-8932-4069E8FAA0E8}"/>
    <cellStyle name="Normal 11 4 6" xfId="49" xr:uid="{B786B564-ECD0-443C-AF55-F13D236938F6}"/>
    <cellStyle name="Normal 11 4 6 2" xfId="212" xr:uid="{1F0C032F-2950-4B1A-B0B8-05750D5EDDF0}"/>
    <cellStyle name="Normal 11 4 6 2 2" xfId="586" xr:uid="{1123F1F1-1685-46EA-BD9A-D138692496C3}"/>
    <cellStyle name="Normal 11 4 6 2 2 2" xfId="1334" xr:uid="{DF8BAAE5-DA1F-473F-98DB-CB29C89DFB58}"/>
    <cellStyle name="Normal 11 4 6 2 3" xfId="960" xr:uid="{859277F8-5B1E-4723-8B74-E12C42158532}"/>
    <cellStyle name="Normal 11 4 6 3" xfId="423" xr:uid="{D3ADC22A-4D74-483E-950C-1F3178B625A8}"/>
    <cellStyle name="Normal 11 4 6 3 2" xfId="1171" xr:uid="{51BD9F11-946D-41DC-8A08-11C1487C5F92}"/>
    <cellStyle name="Normal 11 4 6 4" xfId="797" xr:uid="{F7C9631C-2DF4-4F26-8587-E399DAC7DBDB}"/>
    <cellStyle name="Normal 11 4 7" xfId="147" xr:uid="{4060B769-DFE8-4255-8B01-56093471936C}"/>
    <cellStyle name="Normal 11 4 7 2" xfId="310" xr:uid="{B24B001D-4C30-44A9-BC4D-66BF706C8CBB}"/>
    <cellStyle name="Normal 11 4 7 2 2" xfId="684" xr:uid="{A31F2A36-6270-411F-9003-D8A7F1986162}"/>
    <cellStyle name="Normal 11 4 7 2 2 2" xfId="1432" xr:uid="{2AA98260-0A5E-4C39-A5AD-216FC91F1AE9}"/>
    <cellStyle name="Normal 11 4 7 2 3" xfId="1058" xr:uid="{29A2AC62-3BED-4C92-A3AD-FE3991D59AD9}"/>
    <cellStyle name="Normal 11 4 7 3" xfId="521" xr:uid="{ABAAB9C2-AD49-477D-A29E-F25AF0AA6663}"/>
    <cellStyle name="Normal 11 4 7 3 2" xfId="1269" xr:uid="{38049624-AD1A-41D6-805F-38A9A7D152C1}"/>
    <cellStyle name="Normal 11 4 7 4" xfId="895" xr:uid="{DAD2652D-D62F-472E-94F1-A47102BF4861}"/>
    <cellStyle name="Normal 11 4 8" xfId="174" xr:uid="{7F51D7D2-AC83-4769-978C-B917FAA3B7EB}"/>
    <cellStyle name="Normal 11 4 8 2" xfId="548" xr:uid="{46F57E7E-9394-4C9B-9DEB-03E7A12B831A}"/>
    <cellStyle name="Normal 11 4 8 2 2" xfId="1296" xr:uid="{12C2309A-E0AA-467F-9267-8AC98957B19C}"/>
    <cellStyle name="Normal 11 4 8 3" xfId="922" xr:uid="{538D42FE-E34E-466F-9DA7-53B2F5A4D13C}"/>
    <cellStyle name="Normal 11 4 9" xfId="334" xr:uid="{3B9736CE-C26E-4FD7-9FCE-1923C94FB95A}"/>
    <cellStyle name="Normal 11 4 9 2" xfId="708" xr:uid="{E3480C7C-FDC5-4E2A-942E-3CEA4EAA660D}"/>
    <cellStyle name="Normal 11 4 9 2 2" xfId="1456" xr:uid="{AA712310-6435-4DA9-B4E6-C0C598163972}"/>
    <cellStyle name="Normal 11 4 9 3" xfId="1082" xr:uid="{566A873B-6262-416C-8923-28A7E02AA373}"/>
    <cellStyle name="Normal 11 5" xfId="10" xr:uid="{66DE4985-1AC4-4927-AE15-DA8AFFE3D1D2}"/>
    <cellStyle name="Normal 11 5 10" xfId="384" xr:uid="{81C66528-C08D-43E5-9962-1595B7CB6A43}"/>
    <cellStyle name="Normal 11 5 10 2" xfId="1132" xr:uid="{9B622A26-C112-46AE-B754-E15974D03A66}"/>
    <cellStyle name="Normal 11 5 11" xfId="758" xr:uid="{BA5792D6-2789-40D5-A14F-B03FEECE747A}"/>
    <cellStyle name="Normal 11 5 2" xfId="32" xr:uid="{1DDFB92A-6661-4EFA-8F28-E11CFF1FE0F0}"/>
    <cellStyle name="Normal 11 5 2 2" xfId="126" xr:uid="{D7F6C2B6-1137-48FE-84EE-2ADAEBF68042}"/>
    <cellStyle name="Normal 11 5 2 2 2" xfId="289" xr:uid="{30259E7D-8669-4F86-A74D-34F0D8485292}"/>
    <cellStyle name="Normal 11 5 2 2 2 2" xfId="663" xr:uid="{CD3AE93F-946E-41C6-A857-70B8C36EF817}"/>
    <cellStyle name="Normal 11 5 2 2 2 2 2" xfId="1411" xr:uid="{EAB9E9C2-26CB-47F4-AD54-A8F19F8C4DE2}"/>
    <cellStyle name="Normal 11 5 2 2 2 3" xfId="1037" xr:uid="{5FD23712-CD10-4916-9D22-8175DFA3DB9E}"/>
    <cellStyle name="Normal 11 5 2 2 3" xfId="500" xr:uid="{A447177F-DF89-4B06-8698-83EC20F23494}"/>
    <cellStyle name="Normal 11 5 2 2 3 2" xfId="1248" xr:uid="{FBE59553-8D1C-455D-8213-B219C3DF15DF}"/>
    <cellStyle name="Normal 11 5 2 2 4" xfId="874" xr:uid="{8AA51991-06F8-4254-93FE-882DB5DFF69F}"/>
    <cellStyle name="Normal 11 5 2 3" xfId="88" xr:uid="{CA316FBC-CAC5-4876-8D7D-47B8E63C67B6}"/>
    <cellStyle name="Normal 11 5 2 3 2" xfId="251" xr:uid="{4E85375A-5C0A-4E4D-9A12-2E73AC084E43}"/>
    <cellStyle name="Normal 11 5 2 3 2 2" xfId="625" xr:uid="{ADE8C930-5398-47C3-9ED6-A4972051E321}"/>
    <cellStyle name="Normal 11 5 2 3 2 2 2" xfId="1373" xr:uid="{E43F746A-652A-45CA-A011-EC642546C1D5}"/>
    <cellStyle name="Normal 11 5 2 3 2 3" xfId="999" xr:uid="{BC26288B-9966-439F-A51D-A2BA1EEBECA9}"/>
    <cellStyle name="Normal 11 5 2 3 3" xfId="462" xr:uid="{66FA249E-3DA3-4685-83D1-433910D9E622}"/>
    <cellStyle name="Normal 11 5 2 3 3 2" xfId="1210" xr:uid="{8E2D8CCD-FE64-44D3-B209-4BE9B741C83A}"/>
    <cellStyle name="Normal 11 5 2 3 4" xfId="836" xr:uid="{4FF1DBFC-58AF-4C62-8754-64194A0A9917}"/>
    <cellStyle name="Normal 11 5 2 4" xfId="57" xr:uid="{F7B6A539-767D-4527-A9F7-A869480F30CA}"/>
    <cellStyle name="Normal 11 5 2 4 2" xfId="220" xr:uid="{927E02ED-CBD2-48D5-9EB4-F07E60F7F1D1}"/>
    <cellStyle name="Normal 11 5 2 4 2 2" xfId="594" xr:uid="{8BA3DBF9-0EBA-4806-8961-A81ABF176C9F}"/>
    <cellStyle name="Normal 11 5 2 4 2 2 2" xfId="1342" xr:uid="{26197C79-1B9C-4F8E-9668-DD2E5A5284E2}"/>
    <cellStyle name="Normal 11 5 2 4 2 3" xfId="968" xr:uid="{33FF0F31-B77A-4644-AF38-35750C732605}"/>
    <cellStyle name="Normal 11 5 2 4 3" xfId="431" xr:uid="{0B48E057-B6B8-4825-8E92-AC9F6F3411AE}"/>
    <cellStyle name="Normal 11 5 2 4 3 2" xfId="1179" xr:uid="{ED4C61F0-8EEB-416B-9DF7-189F8F3E520A}"/>
    <cellStyle name="Normal 11 5 2 4 4" xfId="805" xr:uid="{EB6E4418-C091-4BCE-A5CB-FD626D984EE9}"/>
    <cellStyle name="Normal 11 5 2 5" xfId="182" xr:uid="{00EF14B0-CDAB-4D7F-A2D7-73F8C8AA9645}"/>
    <cellStyle name="Normal 11 5 2 5 2" xfId="556" xr:uid="{9FD23122-B6C4-4397-A773-4629388CCF58}"/>
    <cellStyle name="Normal 11 5 2 5 2 2" xfId="1304" xr:uid="{19149DDC-01A8-4A6C-8A30-F6F4ED859020}"/>
    <cellStyle name="Normal 11 5 2 5 3" xfId="930" xr:uid="{94089AFB-9F80-4764-A721-3836B9658D5C}"/>
    <cellStyle name="Normal 11 5 2 6" xfId="406" xr:uid="{DB8CF5B9-268D-4E8F-A42A-12445522013F}"/>
    <cellStyle name="Normal 11 5 2 6 2" xfId="1154" xr:uid="{9EDFE81D-9204-49F7-8CCC-18997F7CADD9}"/>
    <cellStyle name="Normal 11 5 2 7" xfId="780" xr:uid="{163F5064-FEF1-4C2F-9EDA-ADEF7068DBA1}"/>
    <cellStyle name="Normal 11 5 3" xfId="116" xr:uid="{5C61EF95-03BD-4EEA-A6FD-118C87461E30}"/>
    <cellStyle name="Normal 11 5 3 2" xfId="279" xr:uid="{7BB79782-3E89-47E6-849D-C16018E7F189}"/>
    <cellStyle name="Normal 11 5 3 2 2" xfId="653" xr:uid="{0162FC29-05B9-48F8-9959-818D5E2115E3}"/>
    <cellStyle name="Normal 11 5 3 2 2 2" xfId="1401" xr:uid="{B0716726-0876-4C66-878C-C6662B7CB70A}"/>
    <cellStyle name="Normal 11 5 3 2 3" xfId="1027" xr:uid="{FACEA64E-9FE3-4895-9438-35907F68EA38}"/>
    <cellStyle name="Normal 11 5 3 3" xfId="490" xr:uid="{5BE97208-60AE-4EB0-8374-F9A2E13BE381}"/>
    <cellStyle name="Normal 11 5 3 3 2" xfId="1238" xr:uid="{4B90BCB8-85C1-45FE-AE2C-48D027E6EBD9}"/>
    <cellStyle name="Normal 11 5 3 4" xfId="864" xr:uid="{1D87CCFC-BE27-49CA-B1F5-F8C633EA9D4C}"/>
    <cellStyle name="Normal 11 5 4" xfId="78" xr:uid="{A0792E70-6EEC-4B86-B5F0-B9CF93CC283F}"/>
    <cellStyle name="Normal 11 5 4 2" xfId="241" xr:uid="{ADAF4A5B-21D8-4D3F-A3A8-26AF63D55087}"/>
    <cellStyle name="Normal 11 5 4 2 2" xfId="615" xr:uid="{1A18CAB3-DE8C-4F78-BC12-B6C88859213D}"/>
    <cellStyle name="Normal 11 5 4 2 2 2" xfId="1363" xr:uid="{44BFFC86-EE95-4413-8854-A34F10127362}"/>
    <cellStyle name="Normal 11 5 4 2 3" xfId="989" xr:uid="{4D2B9EE4-DC8D-4B49-B067-D15A6F7D6C17}"/>
    <cellStyle name="Normal 11 5 4 3" xfId="452" xr:uid="{B8EC44E0-7278-4E54-BF0E-72660299F3EB}"/>
    <cellStyle name="Normal 11 5 4 3 2" xfId="1200" xr:uid="{11AE28B8-91E7-453C-8CAA-DD87311AF041}"/>
    <cellStyle name="Normal 11 5 4 4" xfId="826" xr:uid="{681B1E45-3425-4959-8C0F-2827A5ED87FB}"/>
    <cellStyle name="Normal 11 5 5" xfId="47" xr:uid="{AB4CDFC1-6E3D-43C5-91E6-E87C9C76004F}"/>
    <cellStyle name="Normal 11 5 5 2" xfId="210" xr:uid="{BE82C943-7470-4250-BF29-B4A834F8438B}"/>
    <cellStyle name="Normal 11 5 5 2 2" xfId="584" xr:uid="{7CE75A4A-95D3-4B77-A8F0-1A696C1066F9}"/>
    <cellStyle name="Normal 11 5 5 2 2 2" xfId="1332" xr:uid="{FC98E7C0-F752-4058-B27E-0CCE6808F45C}"/>
    <cellStyle name="Normal 11 5 5 2 3" xfId="958" xr:uid="{6D03C482-CD33-4358-9277-AFEA1889CCA3}"/>
    <cellStyle name="Normal 11 5 5 3" xfId="421" xr:uid="{7D6D1568-71A5-4B52-863E-85E8FE012E89}"/>
    <cellStyle name="Normal 11 5 5 3 2" xfId="1169" xr:uid="{A028B520-7A3E-4521-B2B2-F408272359DC}"/>
    <cellStyle name="Normal 11 5 5 4" xfId="795" xr:uid="{2D80A831-F88E-4C2A-BF09-30FD9C2EA724}"/>
    <cellStyle name="Normal 11 5 6" xfId="148" xr:uid="{118B11D0-B450-433A-8A25-46D7845EFFD2}"/>
    <cellStyle name="Normal 11 5 6 2" xfId="311" xr:uid="{D6CFB2E8-87DD-416F-B9B1-D108B31E9C4B}"/>
    <cellStyle name="Normal 11 5 6 2 2" xfId="685" xr:uid="{6CAAA5E6-7AE2-452E-A2AA-D0BFFC19D9A2}"/>
    <cellStyle name="Normal 11 5 6 2 2 2" xfId="1433" xr:uid="{B3B1187C-DCD5-49CE-8982-83812D276B45}"/>
    <cellStyle name="Normal 11 5 6 2 3" xfId="1059" xr:uid="{4768391E-90D4-4D58-8870-3DE32E533447}"/>
    <cellStyle name="Normal 11 5 6 3" xfId="522" xr:uid="{379DFD0F-E5AB-43D0-B5DC-0FDD6D01912E}"/>
    <cellStyle name="Normal 11 5 6 3 2" xfId="1270" xr:uid="{48FE54C7-366D-483B-BD5E-271B6F5F808E}"/>
    <cellStyle name="Normal 11 5 6 4" xfId="896" xr:uid="{4B3DEB63-7BEE-4A1B-9414-7F94F25B23B9}"/>
    <cellStyle name="Normal 11 5 7" xfId="172" xr:uid="{E7F594F7-9430-4359-AC25-A8A0DACBE14A}"/>
    <cellStyle name="Normal 11 5 7 2" xfId="546" xr:uid="{FDD74ACF-AD5A-4641-B9FC-0BF037F3F928}"/>
    <cellStyle name="Normal 11 5 7 2 2" xfId="1294" xr:uid="{F6AE0B38-8F83-4076-AD31-6C9315CAD157}"/>
    <cellStyle name="Normal 11 5 7 3" xfId="920" xr:uid="{69D47474-DCAD-4F01-8086-AF43F4641F41}"/>
    <cellStyle name="Normal 11 5 8" xfId="335" xr:uid="{EBF4FDFF-458D-44E5-9562-7E9F63084BE0}"/>
    <cellStyle name="Normal 11 5 8 2" xfId="709" xr:uid="{2E2BF7FB-4920-40E1-AFFA-7C47954D1E68}"/>
    <cellStyle name="Normal 11 5 8 2 2" xfId="1457" xr:uid="{25F2BE15-4C77-4DBF-B51E-090DBC3155BA}"/>
    <cellStyle name="Normal 11 5 8 3" xfId="1083" xr:uid="{D9149D7A-EF17-4A79-8601-B240248C68C1}"/>
    <cellStyle name="Normal 11 5 9" xfId="365" xr:uid="{EB9CBE03-A7AA-4D43-B7FF-B4CB6D74D817}"/>
    <cellStyle name="Normal 11 5 9 2" xfId="739" xr:uid="{963631C4-C99E-45AC-A491-F9B038C10B1F}"/>
    <cellStyle name="Normal 11 5 9 2 2" xfId="1487" xr:uid="{EB29006C-1613-4B48-8EA4-7EA6E178B8E0}"/>
    <cellStyle name="Normal 11 5 9 3" xfId="1113" xr:uid="{A0D57417-4CF3-47AD-9C73-F27755769389}"/>
    <cellStyle name="Normal 11 6" xfId="17" xr:uid="{6C68108D-7850-43A7-8172-200C122CEE5A}"/>
    <cellStyle name="Normal 11 6 10" xfId="765" xr:uid="{88849F17-E0C3-4256-BEA3-386EA60055F0}"/>
    <cellStyle name="Normal 11 6 2" xfId="122" xr:uid="{5A541A3B-8DA1-4462-BB57-6A954057CCCC}"/>
    <cellStyle name="Normal 11 6 2 2" xfId="285" xr:uid="{83D12D7F-148E-4FE7-8BC2-2D2E418F9110}"/>
    <cellStyle name="Normal 11 6 2 2 2" xfId="659" xr:uid="{3328C685-AC0D-4CE6-80AC-273BE9B64F12}"/>
    <cellStyle name="Normal 11 6 2 2 2 2" xfId="1407" xr:uid="{C89DAAE5-BFD2-4FCA-AE16-413DA8D8C7CC}"/>
    <cellStyle name="Normal 11 6 2 2 3" xfId="1033" xr:uid="{4D256FEC-B631-4A54-A24E-967B54FE478C}"/>
    <cellStyle name="Normal 11 6 2 3" xfId="496" xr:uid="{360839CC-1829-4081-81FD-3243792D0AB8}"/>
    <cellStyle name="Normal 11 6 2 3 2" xfId="1244" xr:uid="{18BE621C-9AAD-40AD-BA4B-21191EF18D38}"/>
    <cellStyle name="Normal 11 6 2 4" xfId="870" xr:uid="{8E510315-DC6A-4DED-92C1-C730C05C7CB7}"/>
    <cellStyle name="Normal 11 6 3" xfId="84" xr:uid="{F3B4DECF-436A-4721-B08A-82A994295C0B}"/>
    <cellStyle name="Normal 11 6 3 2" xfId="247" xr:uid="{AA632F6D-13C2-4B35-9AAA-C0E7038B8A90}"/>
    <cellStyle name="Normal 11 6 3 2 2" xfId="621" xr:uid="{6707DD81-AFBA-4523-B93B-AE3A655AD63B}"/>
    <cellStyle name="Normal 11 6 3 2 2 2" xfId="1369" xr:uid="{8C06D8DE-804A-4457-BE28-55988DEA6EDF}"/>
    <cellStyle name="Normal 11 6 3 2 3" xfId="995" xr:uid="{DCA1ECFE-8D55-4965-ADB0-FAFD1D9DF6A8}"/>
    <cellStyle name="Normal 11 6 3 3" xfId="458" xr:uid="{9136C39B-D428-454E-AAD7-64CFF772B563}"/>
    <cellStyle name="Normal 11 6 3 3 2" xfId="1206" xr:uid="{22BDEC72-36DB-483D-B5F6-D3F9BAF1A6FE}"/>
    <cellStyle name="Normal 11 6 3 4" xfId="832" xr:uid="{B2997271-974C-486F-AFC0-FF43B1D0071A}"/>
    <cellStyle name="Normal 11 6 4" xfId="53" xr:uid="{C9E54F66-F288-4819-81D7-441C708ADDB9}"/>
    <cellStyle name="Normal 11 6 4 2" xfId="216" xr:uid="{463B96F5-7829-426A-B6F6-20B2F51F8572}"/>
    <cellStyle name="Normal 11 6 4 2 2" xfId="590" xr:uid="{CCE096D5-70D8-4C39-9816-E3BC9A855866}"/>
    <cellStyle name="Normal 11 6 4 2 2 2" xfId="1338" xr:uid="{98B107A3-2EF2-4B7E-B912-D341B10D09CF}"/>
    <cellStyle name="Normal 11 6 4 2 3" xfId="964" xr:uid="{66C58E04-4004-4F56-B643-9B7940DE82A4}"/>
    <cellStyle name="Normal 11 6 4 3" xfId="427" xr:uid="{11607782-8C45-402E-9920-6391A1A17B1B}"/>
    <cellStyle name="Normal 11 6 4 3 2" xfId="1175" xr:uid="{B2F1AE23-C5C1-4007-976A-778DAEF98AC0}"/>
    <cellStyle name="Normal 11 6 4 4" xfId="801" xr:uid="{75FEFF31-ADD7-4EFD-A3A9-B917F4431D39}"/>
    <cellStyle name="Normal 11 6 5" xfId="155" xr:uid="{9E1C1E90-3A90-4266-8527-9EA5C96D4F72}"/>
    <cellStyle name="Normal 11 6 5 2" xfId="318" xr:uid="{3EEB9F72-A573-4650-9961-7301E8FFA346}"/>
    <cellStyle name="Normal 11 6 5 2 2" xfId="692" xr:uid="{ECEF715D-1276-47B1-8F81-6D5601682A1C}"/>
    <cellStyle name="Normal 11 6 5 2 2 2" xfId="1440" xr:uid="{ED853967-3895-4B6B-B456-0C4021DE4AF2}"/>
    <cellStyle name="Normal 11 6 5 2 3" xfId="1066" xr:uid="{3E268576-B9AB-42BD-BF94-0CCE66CA315E}"/>
    <cellStyle name="Normal 11 6 5 3" xfId="529" xr:uid="{705CCA4C-FBDC-44F9-A9B2-42047A120B07}"/>
    <cellStyle name="Normal 11 6 5 3 2" xfId="1277" xr:uid="{CA6C0FA1-5B8F-46BF-9B21-90BC457FEF7A}"/>
    <cellStyle name="Normal 11 6 5 4" xfId="903" xr:uid="{D4859C0E-A9C6-4386-8EF1-E5FBBBBB01A3}"/>
    <cellStyle name="Normal 11 6 6" xfId="178" xr:uid="{2BF89E8A-6A49-4F05-AA78-4CB439B01BDC}"/>
    <cellStyle name="Normal 11 6 6 2" xfId="552" xr:uid="{07DAB790-339E-47B3-8588-F21E2C679B7A}"/>
    <cellStyle name="Normal 11 6 6 2 2" xfId="1300" xr:uid="{C8D1089C-C64F-4E29-A4BD-C1CEF995A36C}"/>
    <cellStyle name="Normal 11 6 6 3" xfId="926" xr:uid="{2337E310-4B81-4FA6-84D5-AD59D686FCD1}"/>
    <cellStyle name="Normal 11 6 7" xfId="342" xr:uid="{D7CE9D38-8882-43EE-9D2C-CEE62A7B2337}"/>
    <cellStyle name="Normal 11 6 7 2" xfId="716" xr:uid="{BEDF48EB-E406-4669-A35D-4DA0F3735A09}"/>
    <cellStyle name="Normal 11 6 7 2 2" xfId="1464" xr:uid="{3A4A163A-6AE2-43DC-B352-83FD25C7D5B9}"/>
    <cellStyle name="Normal 11 6 7 3" xfId="1090" xr:uid="{95DCCF64-5A04-478A-91CB-87053455E4AC}"/>
    <cellStyle name="Normal 11 6 8" xfId="363" xr:uid="{9AE8DF0E-1300-457E-8B10-EF3A05F32302}"/>
    <cellStyle name="Normal 11 6 8 2" xfId="737" xr:uid="{EA49694A-93EF-4CF0-B097-869D581C3551}"/>
    <cellStyle name="Normal 11 6 8 2 2" xfId="1485" xr:uid="{AC005AE7-1292-4CC6-A7B1-7FC182E2A1F2}"/>
    <cellStyle name="Normal 11 6 8 3" xfId="1111" xr:uid="{D62FD129-6BFD-48AB-817C-48811EABA3C8}"/>
    <cellStyle name="Normal 11 6 9" xfId="391" xr:uid="{F85A229C-F972-4160-9C48-7FFCC799FFA3}"/>
    <cellStyle name="Normal 11 6 9 2" xfId="1139" xr:uid="{12841EDA-03A6-40F3-9A0E-DC6903850E4D}"/>
    <cellStyle name="Normal 11 7" xfId="18" xr:uid="{27A7B853-7520-43C4-9B27-3EB484DEAA2D}"/>
    <cellStyle name="Normal 11 7 10" xfId="766" xr:uid="{9C469B60-C5BA-43C1-804C-C634A1A6604A}"/>
    <cellStyle name="Normal 11 7 2" xfId="132" xr:uid="{682E7A78-27ED-4D0D-B014-6393DBE8C371}"/>
    <cellStyle name="Normal 11 7 2 2" xfId="295" xr:uid="{E3E19A39-C7B8-40D8-B982-4821E2D825CA}"/>
    <cellStyle name="Normal 11 7 2 2 2" xfId="669" xr:uid="{75258030-BD23-4C78-9BDE-B4B7AC2E7A6C}"/>
    <cellStyle name="Normal 11 7 2 2 2 2" xfId="1417" xr:uid="{6B0E9999-E013-4CFA-B81B-E9011BCB7F82}"/>
    <cellStyle name="Normal 11 7 2 2 3" xfId="1043" xr:uid="{27F0FEDC-269B-46AB-9742-7209718DB1CE}"/>
    <cellStyle name="Normal 11 7 2 3" xfId="506" xr:uid="{26955ED3-56D1-46A5-B5DF-AF30E2EEC8F6}"/>
    <cellStyle name="Normal 11 7 2 3 2" xfId="1254" xr:uid="{D27DCA96-ED11-4D2B-94D3-E84C03813962}"/>
    <cellStyle name="Normal 11 7 2 4" xfId="880" xr:uid="{1640D0AC-EA26-466B-8F36-225D561DD288}"/>
    <cellStyle name="Normal 11 7 3" xfId="94" xr:uid="{09FA9FE2-44BE-4B69-8225-A01C32E03E6E}"/>
    <cellStyle name="Normal 11 7 3 2" xfId="257" xr:uid="{239E8C68-6733-4A34-832D-BE61449B8C3A}"/>
    <cellStyle name="Normal 11 7 3 2 2" xfId="631" xr:uid="{B74F1641-E105-4890-A332-9B338B64FAB6}"/>
    <cellStyle name="Normal 11 7 3 2 2 2" xfId="1379" xr:uid="{042756F0-2E1D-4E4E-9C51-0948B781A497}"/>
    <cellStyle name="Normal 11 7 3 2 3" xfId="1005" xr:uid="{D19E7258-4DBF-4B14-9D7B-CFAFFAF35A84}"/>
    <cellStyle name="Normal 11 7 3 3" xfId="468" xr:uid="{4621775E-FF5C-4250-B63E-3E754B9BD412}"/>
    <cellStyle name="Normal 11 7 3 3 2" xfId="1216" xr:uid="{518B07BE-EA60-4CBA-AD93-858A9E461455}"/>
    <cellStyle name="Normal 11 7 3 4" xfId="842" xr:uid="{F2314B9D-0E97-4B2C-BB24-1E7C4A1DA8C5}"/>
    <cellStyle name="Normal 11 7 4" xfId="63" xr:uid="{51BED741-0BE8-43D2-AD58-54C5E378C64A}"/>
    <cellStyle name="Normal 11 7 4 2" xfId="226" xr:uid="{D41AA19F-AC4A-4037-8289-3713AA42F06C}"/>
    <cellStyle name="Normal 11 7 4 2 2" xfId="600" xr:uid="{A0FA6D4B-620A-49D7-97D7-11A77499B04D}"/>
    <cellStyle name="Normal 11 7 4 2 2 2" xfId="1348" xr:uid="{3781BE50-BE30-45CA-A73F-7F6280D5B6A1}"/>
    <cellStyle name="Normal 11 7 4 2 3" xfId="974" xr:uid="{C21ABB53-B39A-4AB9-BFBE-209B769C6B04}"/>
    <cellStyle name="Normal 11 7 4 3" xfId="437" xr:uid="{B407807D-9C72-45F4-BA23-E12127949751}"/>
    <cellStyle name="Normal 11 7 4 3 2" xfId="1185" xr:uid="{5A911BF5-AB0A-4C98-B143-6DE949DA463B}"/>
    <cellStyle name="Normal 11 7 4 4" xfId="811" xr:uid="{5E1777D7-978B-468D-B3AB-A595D773815A}"/>
    <cellStyle name="Normal 11 7 5" xfId="156" xr:uid="{73AC71A3-BD24-4694-8BD7-47E50BBE0F11}"/>
    <cellStyle name="Normal 11 7 5 2" xfId="319" xr:uid="{DBD16755-3AE0-4084-BA94-B264E3CDAE2F}"/>
    <cellStyle name="Normal 11 7 5 2 2" xfId="693" xr:uid="{49A42B1F-1777-4356-AA88-2962D49221E1}"/>
    <cellStyle name="Normal 11 7 5 2 2 2" xfId="1441" xr:uid="{B2377FAA-50D9-4378-97F8-762D4829E8E3}"/>
    <cellStyle name="Normal 11 7 5 2 3" xfId="1067" xr:uid="{FB319574-674E-4BE5-ABDC-5AD1D69A9606}"/>
    <cellStyle name="Normal 11 7 5 3" xfId="530" xr:uid="{68B405CB-A12B-481C-A977-024BCCA5A20F}"/>
    <cellStyle name="Normal 11 7 5 3 2" xfId="1278" xr:uid="{312308EA-CFF5-4491-BA5F-C6D692C8376A}"/>
    <cellStyle name="Normal 11 7 5 4" xfId="904" xr:uid="{7736DF2D-7371-4A59-A271-1ABE67FE5554}"/>
    <cellStyle name="Normal 11 7 6" xfId="188" xr:uid="{54D9C017-A161-4B3D-BF21-93BDF231C1A1}"/>
    <cellStyle name="Normal 11 7 6 2" xfId="562" xr:uid="{434880A4-3CE9-4AEF-BC0E-49C8B56608BE}"/>
    <cellStyle name="Normal 11 7 6 2 2" xfId="1310" xr:uid="{BC6F4D5D-133F-4C04-9FC5-65ED729DD84E}"/>
    <cellStyle name="Normal 11 7 6 3" xfId="936" xr:uid="{5FD12174-2465-4E9D-87C3-C12A864AD319}"/>
    <cellStyle name="Normal 11 7 7" xfId="343" xr:uid="{E5F253A1-B4A8-487C-A422-FE105F795D47}"/>
    <cellStyle name="Normal 11 7 7 2" xfId="717" xr:uid="{07DA3CAD-1A90-49C7-964C-160C6E6993C0}"/>
    <cellStyle name="Normal 11 7 7 2 2" xfId="1465" xr:uid="{426D6C2A-C480-4243-9363-FBD3E8F62C81}"/>
    <cellStyle name="Normal 11 7 7 3" xfId="1091" xr:uid="{07C730C0-FE75-42B7-B39C-7589D3B66C35}"/>
    <cellStyle name="Normal 11 7 8" xfId="366" xr:uid="{24CD990C-12C7-4C2C-B2A1-35E2DFD65830}"/>
    <cellStyle name="Normal 11 7 8 2" xfId="740" xr:uid="{239FE9D7-DB8D-4850-B0ED-7FF9CBE016C2}"/>
    <cellStyle name="Normal 11 7 8 2 2" xfId="1488" xr:uid="{4B7011F9-C6F6-43A3-A323-43B689A7353E}"/>
    <cellStyle name="Normal 11 7 8 3" xfId="1114" xr:uid="{8E9BCDD7-7EB0-4DD0-ABE5-AB8F5E6F59DC}"/>
    <cellStyle name="Normal 11 7 9" xfId="392" xr:uid="{C8284758-4174-478B-B515-ACFA645D2DF0}"/>
    <cellStyle name="Normal 11 7 9 2" xfId="1140" xr:uid="{222EDF18-C543-43F7-B85C-28F0D02C7B94}"/>
    <cellStyle name="Normal 11 8" xfId="20" xr:uid="{ECE39813-7265-4FC7-8346-683C58A1D9FF}"/>
    <cellStyle name="Normal 11 8 10" xfId="768" xr:uid="{C6638D0B-EF24-4F8F-8C47-5FF4DBE0CE05}"/>
    <cellStyle name="Normal 11 8 2" xfId="138" xr:uid="{49765C90-997A-40BA-B1E6-7D846113450A}"/>
    <cellStyle name="Normal 11 8 2 2" xfId="301" xr:uid="{C32FFBA7-B792-4401-A070-1D700F595967}"/>
    <cellStyle name="Normal 11 8 2 2 2" xfId="675" xr:uid="{346821DE-3D86-4D0B-A56E-910B8B1BBD50}"/>
    <cellStyle name="Normal 11 8 2 2 2 2" xfId="1423" xr:uid="{94A6B2FD-0F38-4C76-B686-E350F875ADBD}"/>
    <cellStyle name="Normal 11 8 2 2 3" xfId="1049" xr:uid="{07C5A5D6-D5A0-4C16-A724-53309E6B2EF8}"/>
    <cellStyle name="Normal 11 8 2 3" xfId="512" xr:uid="{83893FE4-6919-4CF6-9442-1292F0B83A33}"/>
    <cellStyle name="Normal 11 8 2 3 2" xfId="1260" xr:uid="{1C318737-06A1-48DB-99F5-9A093C274610}"/>
    <cellStyle name="Normal 11 8 2 4" xfId="886" xr:uid="{588FAC1A-C27E-4BA3-BB96-EEFD53B8B259}"/>
    <cellStyle name="Normal 11 8 3" xfId="100" xr:uid="{9939320C-D597-4340-AF55-547B57154924}"/>
    <cellStyle name="Normal 11 8 3 2" xfId="263" xr:uid="{1593F8C2-7B13-43FE-A45E-6D933AF3C78D}"/>
    <cellStyle name="Normal 11 8 3 2 2" xfId="637" xr:uid="{4ED511D6-B745-4A09-B5EA-42F7A2B7094B}"/>
    <cellStyle name="Normal 11 8 3 2 2 2" xfId="1385" xr:uid="{5F657D5C-5693-4BAC-B3D9-88B198BBE994}"/>
    <cellStyle name="Normal 11 8 3 2 3" xfId="1011" xr:uid="{CE447D74-7D85-4666-870C-77675504EF7D}"/>
    <cellStyle name="Normal 11 8 3 3" xfId="474" xr:uid="{1785656A-514B-4588-81DA-85E1DF775D24}"/>
    <cellStyle name="Normal 11 8 3 3 2" xfId="1222" xr:uid="{583494C3-CAAB-4D4D-A9A1-A9B43C0FA1BD}"/>
    <cellStyle name="Normal 11 8 3 4" xfId="848" xr:uid="{4CC2B880-F3F0-4F00-8D34-D94AEF55072C}"/>
    <cellStyle name="Normal 11 8 4" xfId="69" xr:uid="{799E79BC-BE05-4E44-8F03-63399E6CF09A}"/>
    <cellStyle name="Normal 11 8 4 2" xfId="232" xr:uid="{890B4FE2-C5B9-4BF2-AC14-F1F2A7B9D0BC}"/>
    <cellStyle name="Normal 11 8 4 2 2" xfId="606" xr:uid="{2B342CB8-CEDE-41DD-877B-8CF9CEE4464D}"/>
    <cellStyle name="Normal 11 8 4 2 2 2" xfId="1354" xr:uid="{9438C3C0-235D-4FC3-B31A-15166468B609}"/>
    <cellStyle name="Normal 11 8 4 2 3" xfId="980" xr:uid="{9967214D-40AB-46D6-896C-972545D9C0B5}"/>
    <cellStyle name="Normal 11 8 4 3" xfId="443" xr:uid="{40A13DB6-3CDA-4D36-B203-1A1F3BBEB30D}"/>
    <cellStyle name="Normal 11 8 4 3 2" xfId="1191" xr:uid="{D04877FE-59B4-4EA3-924F-4CD7431C5CB1}"/>
    <cellStyle name="Normal 11 8 4 4" xfId="817" xr:uid="{6B079C76-5230-4C9F-8FD0-207C156240D2}"/>
    <cellStyle name="Normal 11 8 5" xfId="158" xr:uid="{EE38BFD5-3B81-4F35-A62E-7B8525CEBEBA}"/>
    <cellStyle name="Normal 11 8 5 2" xfId="321" xr:uid="{4FB846C1-BE6F-40C4-8A43-503D76FB50DE}"/>
    <cellStyle name="Normal 11 8 5 2 2" xfId="695" xr:uid="{355724F5-DA7E-4D40-96E3-57DA34CE6A06}"/>
    <cellStyle name="Normal 11 8 5 2 2 2" xfId="1443" xr:uid="{8A8F9A55-DCDE-43E2-AABB-6EE84010FB46}"/>
    <cellStyle name="Normal 11 8 5 2 3" xfId="1069" xr:uid="{F023817B-9A92-4377-9998-1B03B45A1BEF}"/>
    <cellStyle name="Normal 11 8 5 3" xfId="532" xr:uid="{C046548F-BA41-4523-9701-81364A1183E8}"/>
    <cellStyle name="Normal 11 8 5 3 2" xfId="1280" xr:uid="{95848E7D-0677-4D34-9275-09AB95A69A1C}"/>
    <cellStyle name="Normal 11 8 5 4" xfId="906" xr:uid="{ADE830B1-60BB-4186-B627-6A1383D57FB4}"/>
    <cellStyle name="Normal 11 8 6" xfId="194" xr:uid="{7519175A-E5E9-43FB-B5D9-25DCB688C460}"/>
    <cellStyle name="Normal 11 8 6 2" xfId="568" xr:uid="{40B32465-D0D6-45FF-9011-5C1CC7BE4F62}"/>
    <cellStyle name="Normal 11 8 6 2 2" xfId="1316" xr:uid="{EC43C4A4-8826-4DD9-9EFE-0155DB35EFFB}"/>
    <cellStyle name="Normal 11 8 6 3" xfId="942" xr:uid="{BE17A84E-AC8E-4E5E-8923-4F3C10BA16F5}"/>
    <cellStyle name="Normal 11 8 7" xfId="345" xr:uid="{EF87EF61-5BC0-4B34-9A7D-B398909CB8FC}"/>
    <cellStyle name="Normal 11 8 7 2" xfId="719" xr:uid="{A4862801-32FD-492D-AC87-B5C29C2F5553}"/>
    <cellStyle name="Normal 11 8 7 2 2" xfId="1467" xr:uid="{3CC47C55-EF91-4E45-984C-87079B051532}"/>
    <cellStyle name="Normal 11 8 7 3" xfId="1093" xr:uid="{407030EE-CC0E-4298-AF31-69C32BB895FA}"/>
    <cellStyle name="Normal 11 8 8" xfId="367" xr:uid="{448E5BC9-E338-414A-BFB8-F72775142FF4}"/>
    <cellStyle name="Normal 11 8 8 2" xfId="741" xr:uid="{72BC703C-087D-4514-BF51-B989EB3C89CB}"/>
    <cellStyle name="Normal 11 8 8 2 2" xfId="1489" xr:uid="{B98E8513-8684-4F05-B04D-3EDF006E77F3}"/>
    <cellStyle name="Normal 11 8 8 3" xfId="1115" xr:uid="{50CE9854-EE01-4107-B30D-6AF9C7FF8397}"/>
    <cellStyle name="Normal 11 8 9" xfId="394" xr:uid="{E87F3F89-C81C-41AA-AE48-CD74560C0ACA}"/>
    <cellStyle name="Normal 11 8 9 2" xfId="1142" xr:uid="{D6A75ED0-B656-4B94-BE38-0260983D3E8D}"/>
    <cellStyle name="Normal 11 9" xfId="22" xr:uid="{9B9EB376-A9DD-4211-8353-6F16143430A1}"/>
    <cellStyle name="Normal 11 9 2" xfId="74" xr:uid="{4AAB5E76-7F59-40D1-A5D1-B25EA979BA44}"/>
    <cellStyle name="Normal 11 9 2 2" xfId="237" xr:uid="{DD421E8D-ADFE-40ED-A4C1-6A60927F374F}"/>
    <cellStyle name="Normal 11 9 2 2 2" xfId="611" xr:uid="{F45D0A0A-0BE8-4D9A-8020-0E151AA2E658}"/>
    <cellStyle name="Normal 11 9 2 2 2 2" xfId="1359" xr:uid="{AC43B0D3-BF3B-4EFF-93CE-02873CB1633C}"/>
    <cellStyle name="Normal 11 9 2 2 3" xfId="985" xr:uid="{069BE985-F2AB-4B39-82B6-0D781AD22EE6}"/>
    <cellStyle name="Normal 11 9 2 3" xfId="448" xr:uid="{4D0B20B9-8AE5-48DD-9759-B710CDD61FD4}"/>
    <cellStyle name="Normal 11 9 2 3 2" xfId="1196" xr:uid="{C18FEC58-4FA7-4EFE-B877-CECDB9D01FD6}"/>
    <cellStyle name="Normal 11 9 2 4" xfId="822" xr:uid="{2A8FE459-D572-478D-A0A8-750517EC3B75}"/>
    <cellStyle name="Normal 11 9 3" xfId="160" xr:uid="{785B3187-AF34-410D-9233-4ADA4254CFC1}"/>
    <cellStyle name="Normal 11 9 3 2" xfId="323" xr:uid="{3D2E092A-0CC3-4DA6-838E-EF184FF936D3}"/>
    <cellStyle name="Normal 11 9 3 2 2" xfId="697" xr:uid="{8323DF30-24C6-4010-AF74-E6000F0172E4}"/>
    <cellStyle name="Normal 11 9 3 2 2 2" xfId="1445" xr:uid="{CFDC176F-03FC-45B2-B6A5-23A4F62843D8}"/>
    <cellStyle name="Normal 11 9 3 2 3" xfId="1071" xr:uid="{3D70DF62-C40E-4DD6-863E-189964ABC6E7}"/>
    <cellStyle name="Normal 11 9 3 3" xfId="534" xr:uid="{B67964B5-3301-435A-B9DC-AA69B99C31C1}"/>
    <cellStyle name="Normal 11 9 3 3 2" xfId="1282" xr:uid="{6409047D-CD8D-4253-A04B-C2D39A570B06}"/>
    <cellStyle name="Normal 11 9 3 4" xfId="908" xr:uid="{A4B15A18-FCB0-4953-B071-EF1AEB26B553}"/>
    <cellStyle name="Normal 11 9 4" xfId="168" xr:uid="{B4E312EE-2FE6-43CB-BD1A-6E0DFC3F6790}"/>
    <cellStyle name="Normal 11 9 4 2" xfId="542" xr:uid="{433CD4FC-18AB-4F2C-BCBC-98D5F84E0F65}"/>
    <cellStyle name="Normal 11 9 4 2 2" xfId="1290" xr:uid="{945C95B4-737F-4B9B-970A-50DD4B368F94}"/>
    <cellStyle name="Normal 11 9 4 3" xfId="916" xr:uid="{A55BD679-9F74-4400-9A01-9C9D6DE8E0CB}"/>
    <cellStyle name="Normal 11 9 5" xfId="347" xr:uid="{658B87F4-9AAB-4045-833C-6D22F394084D}"/>
    <cellStyle name="Normal 11 9 5 2" xfId="721" xr:uid="{58E9A4C4-FF6C-4587-ACF9-DF6095135DE8}"/>
    <cellStyle name="Normal 11 9 5 2 2" xfId="1469" xr:uid="{54BD9206-B8DD-4DBC-9F81-FB214A6AE722}"/>
    <cellStyle name="Normal 11 9 5 3" xfId="1095" xr:uid="{61308CB7-092D-452C-B798-427BC78B3651}"/>
    <cellStyle name="Normal 11 9 6" xfId="368" xr:uid="{46FDF35F-3EDA-435C-A5DD-108CFF16462B}"/>
    <cellStyle name="Normal 11 9 6 2" xfId="742" xr:uid="{7B034C28-C716-4920-B061-839711736C89}"/>
    <cellStyle name="Normal 11 9 6 2 2" xfId="1490" xr:uid="{88706D55-A6F8-47EF-A677-D1A8BE6C8F4A}"/>
    <cellStyle name="Normal 11 9 6 3" xfId="1116" xr:uid="{48A01F23-2BBF-4784-A6BD-7A539F6AFDE9}"/>
    <cellStyle name="Normal 11 9 7" xfId="396" xr:uid="{BDFC63A3-43AA-4455-9F2A-3D6EC7C0111C}"/>
    <cellStyle name="Normal 11 9 7 2" xfId="1144" xr:uid="{A0A6E6B8-DBE7-4DF7-B0B1-618E460008A6}"/>
    <cellStyle name="Normal 11 9 8" xfId="770" xr:uid="{AD7940D4-179A-4AC2-8E86-003C2615FBC6}"/>
    <cellStyle name="Normal 2" xfId="2" xr:uid="{00000000-0005-0000-0000-000002000000}"/>
    <cellStyle name="Normal 2 2" xfId="1499" xr:uid="{6C33459A-876F-44DB-9D5D-2F83DFE38C81}"/>
    <cellStyle name="Normal 3" xfId="5" xr:uid="{4A113805-6BDB-454E-A843-08ECD1B64CDD}"/>
    <cellStyle name="Normal 3 10" xfId="329" xr:uid="{81514409-F90D-462F-9ACC-3E714AA74DD4}"/>
    <cellStyle name="Normal 3 10 2" xfId="703" xr:uid="{4B7F4B6B-50F9-4468-A8CF-BE82FB8C560F}"/>
    <cellStyle name="Normal 3 10 2 2" xfId="1451" xr:uid="{5526F07E-0DA8-4D0E-A708-0D7151148604}"/>
    <cellStyle name="Normal 3 10 3" xfId="1077" xr:uid="{3951B184-6FBD-4B2B-9B9E-DF5167FEC4D1}"/>
    <cellStyle name="Normal 3 11" xfId="369" xr:uid="{C4FDDEE0-88EA-4696-B0FD-396A0245E6B9}"/>
    <cellStyle name="Normal 3 11 2" xfId="743" xr:uid="{098F36D1-F29F-4889-A91D-D8F1DE1D46AE}"/>
    <cellStyle name="Normal 3 11 2 2" xfId="1491" xr:uid="{898B9A8F-A528-466B-A25E-A8E71D16715E}"/>
    <cellStyle name="Normal 3 11 3" xfId="1117" xr:uid="{611A28B0-EFE1-4863-AF04-219B3ACBDBC4}"/>
    <cellStyle name="Normal 3 12" xfId="379" xr:uid="{EA51E7E7-A3DD-44B3-BABA-FFDCE106DDC6}"/>
    <cellStyle name="Normal 3 12 2" xfId="1127" xr:uid="{E32CB4F6-269C-4E50-9FCF-BEFF513EB229}"/>
    <cellStyle name="Normal 3 13" xfId="753" xr:uid="{44E433CF-7BFD-4397-8FBB-B004B6F19D0B}"/>
    <cellStyle name="Normal 3 2" xfId="11" xr:uid="{769A27C9-B591-4B22-8899-2297B7934AE1}"/>
    <cellStyle name="Normal 3 2 2" xfId="104" xr:uid="{39D22080-41BB-45F7-9C5E-73F4493242ED}"/>
    <cellStyle name="Normal 3 2 2 2" xfId="267" xr:uid="{B0B553B6-F120-4BEF-8EFD-2A3288245BFE}"/>
    <cellStyle name="Normal 3 2 2 2 2" xfId="641" xr:uid="{DC983B92-3A1F-4793-BCF6-0D78ED2D72BA}"/>
    <cellStyle name="Normal 3 2 2 2 2 2" xfId="1389" xr:uid="{ECD7BB54-D50B-489A-8352-C69B35000FF5}"/>
    <cellStyle name="Normal 3 2 2 2 3" xfId="1015" xr:uid="{99F50E6B-164D-4040-8781-F53666929694}"/>
    <cellStyle name="Normal 3 2 2 3" xfId="478" xr:uid="{59C2827B-FD32-47F6-9E60-088CD4C05808}"/>
    <cellStyle name="Normal 3 2 2 3 2" xfId="1226" xr:uid="{F064C833-6803-4605-BFE4-DFD44881E633}"/>
    <cellStyle name="Normal 3 2 2 4" xfId="852" xr:uid="{1C5C7B1E-795B-40E8-8337-97B474861E11}"/>
    <cellStyle name="Normal 3 2 3" xfId="149" xr:uid="{5287EE55-3A20-47E8-9920-935D55002753}"/>
    <cellStyle name="Normal 3 2 3 2" xfId="312" xr:uid="{233AA9EA-0046-403A-9D9D-E487EC2AFD98}"/>
    <cellStyle name="Normal 3 2 3 2 2" xfId="686" xr:uid="{048D25AC-6F43-448A-9EF4-3614AE702E49}"/>
    <cellStyle name="Normal 3 2 3 2 2 2" xfId="1434" xr:uid="{2355BCC3-EA1B-4F74-86A8-29C07C4502F7}"/>
    <cellStyle name="Normal 3 2 3 2 3" xfId="1060" xr:uid="{523A0031-02D4-4AEC-BFF4-17D5234F5EE0}"/>
    <cellStyle name="Normal 3 2 3 3" xfId="523" xr:uid="{CFE1DA0D-B859-4CA8-8635-E278B9CD73AA}"/>
    <cellStyle name="Normal 3 2 3 3 2" xfId="1271" xr:uid="{9A7C06E8-5E59-4811-8784-4B22E008B72C}"/>
    <cellStyle name="Normal 3 2 3 4" xfId="897" xr:uid="{CB073CE5-9B11-4CCB-87C7-8C7DAFAFF6C6}"/>
    <cellStyle name="Normal 3 2 4" xfId="198" xr:uid="{175ABB70-39B2-4C1C-BD22-C212030622DD}"/>
    <cellStyle name="Normal 3 2 4 2" xfId="572" xr:uid="{98E91B95-3FDB-4BA9-AFC3-2E6738470D60}"/>
    <cellStyle name="Normal 3 2 4 2 2" xfId="1320" xr:uid="{5973F98C-6768-436F-8F1F-D94698D5436D}"/>
    <cellStyle name="Normal 3 2 4 3" xfId="946" xr:uid="{C5FA257F-E3C8-4A1D-84C3-FEEC996EB5D1}"/>
    <cellStyle name="Normal 3 2 5" xfId="336" xr:uid="{D565F5B9-0DD9-4C7F-B592-3C9082E638EE}"/>
    <cellStyle name="Normal 3 2 5 2" xfId="710" xr:uid="{52789524-143E-45E5-950C-DA20174E01CE}"/>
    <cellStyle name="Normal 3 2 5 2 2" xfId="1458" xr:uid="{63D259E8-9480-4344-8BCC-9D0EB8C27F3D}"/>
    <cellStyle name="Normal 3 2 5 3" xfId="1084" xr:uid="{ED640B0C-9CBA-4B4D-8897-2B708A80C30A}"/>
    <cellStyle name="Normal 3 2 6" xfId="370" xr:uid="{918D173F-765C-4E5E-B81E-1140C6926BA9}"/>
    <cellStyle name="Normal 3 2 6 2" xfId="744" xr:uid="{CB7666B9-006A-4F6B-A287-3D0D15566A80}"/>
    <cellStyle name="Normal 3 2 6 2 2" xfId="1492" xr:uid="{73FA586B-EC27-435C-B8C9-6179509D711A}"/>
    <cellStyle name="Normal 3 2 6 3" xfId="1118" xr:uid="{5E8A68E6-3811-4120-B92E-50809EF9EC1C}"/>
    <cellStyle name="Normal 3 2 7" xfId="385" xr:uid="{1DD72895-2BB9-4209-A227-F716392306E8}"/>
    <cellStyle name="Normal 3 2 7 2" xfId="1133" xr:uid="{DCABDE12-AB7C-4F30-B47E-C84CAFBBB366}"/>
    <cellStyle name="Normal 3 2 8" xfId="759" xr:uid="{991A105D-313C-479F-8D4F-DD4619C6BF82}"/>
    <cellStyle name="Normal 3 3" xfId="19" xr:uid="{40E5BB91-8707-46B9-855D-1A639ABA2603}"/>
    <cellStyle name="Normal 3 3 2" xfId="106" xr:uid="{20953591-67F9-430F-ABA8-F89406FFAEAD}"/>
    <cellStyle name="Normal 3 3 2 2" xfId="269" xr:uid="{81E95B28-BCB7-41C6-9FAC-477D95367D59}"/>
    <cellStyle name="Normal 3 3 2 2 2" xfId="643" xr:uid="{01268A8A-FD2F-4D44-A71F-493CCC53A0F6}"/>
    <cellStyle name="Normal 3 3 2 2 2 2" xfId="1391" xr:uid="{08611114-7A5C-48C5-B5D7-C8B88A840C24}"/>
    <cellStyle name="Normal 3 3 2 2 3" xfId="1017" xr:uid="{426B3051-3716-430F-82D5-9688303E6E5B}"/>
    <cellStyle name="Normal 3 3 2 3" xfId="480" xr:uid="{81AFFFD7-266F-4EC5-B5B3-7221067BE13E}"/>
    <cellStyle name="Normal 3 3 2 3 2" xfId="1228" xr:uid="{0DE73E01-B313-46C6-B930-C2B7207736EC}"/>
    <cellStyle name="Normal 3 3 2 4" xfId="854" xr:uid="{ED28E109-5532-4878-BFEF-E8B7CB961DA7}"/>
    <cellStyle name="Normal 3 3 3" xfId="157" xr:uid="{291E6F56-C9F6-4698-A60A-E94E261C7B8D}"/>
    <cellStyle name="Normal 3 3 3 2" xfId="320" xr:uid="{9DBFD57A-E7D6-40D3-BA30-9DB8AA6B0DCF}"/>
    <cellStyle name="Normal 3 3 3 2 2" xfId="694" xr:uid="{5C7E86F3-510A-4C49-91F3-D21159ABCFF8}"/>
    <cellStyle name="Normal 3 3 3 2 2 2" xfId="1442" xr:uid="{3338720F-40E1-4CE8-B7EA-DA7EC1B7584D}"/>
    <cellStyle name="Normal 3 3 3 2 3" xfId="1068" xr:uid="{A0BE2F4F-DCA0-415D-A085-FC5591E5A781}"/>
    <cellStyle name="Normal 3 3 3 3" xfId="531" xr:uid="{720F3D24-218F-48B9-A941-45CAAF6584C0}"/>
    <cellStyle name="Normal 3 3 3 3 2" xfId="1279" xr:uid="{E6851D85-3BE6-49F5-8BF5-C8CAEE52746B}"/>
    <cellStyle name="Normal 3 3 3 4" xfId="905" xr:uid="{7CB6F3DA-527D-4E18-84F6-C75717D9A084}"/>
    <cellStyle name="Normal 3 3 4" xfId="200" xr:uid="{892E141B-939D-4C6A-8715-4E8645755A69}"/>
    <cellStyle name="Normal 3 3 4 2" xfId="574" xr:uid="{400500DF-36C2-44A8-9E37-45EB259AD5DA}"/>
    <cellStyle name="Normal 3 3 4 2 2" xfId="1322" xr:uid="{70125B47-07B6-423B-96E7-BC7A0FCDB30C}"/>
    <cellStyle name="Normal 3 3 4 3" xfId="948" xr:uid="{D17EF527-AF26-4F9E-90BF-FCA41AF6B593}"/>
    <cellStyle name="Normal 3 3 5" xfId="344" xr:uid="{71B2EE74-5ECB-4CC0-A190-D5798BB3DB4A}"/>
    <cellStyle name="Normal 3 3 5 2" xfId="718" xr:uid="{77EB6EE6-F472-48A1-AA86-B30839193DD5}"/>
    <cellStyle name="Normal 3 3 5 2 2" xfId="1466" xr:uid="{61733127-2014-4391-810B-FA2FFC77F464}"/>
    <cellStyle name="Normal 3 3 5 3" xfId="1092" xr:uid="{B27A1459-43E4-4687-BA64-D8B112D22EA3}"/>
    <cellStyle name="Normal 3 3 6" xfId="371" xr:uid="{5768E465-188E-4995-9D9F-479B07B5D02F}"/>
    <cellStyle name="Normal 3 3 6 2" xfId="745" xr:uid="{A1A81EB8-5BAE-49B7-B3E8-5842D52857B2}"/>
    <cellStyle name="Normal 3 3 6 2 2" xfId="1493" xr:uid="{F8D02102-3F08-4F63-BF06-7FA28566128F}"/>
    <cellStyle name="Normal 3 3 6 3" xfId="1119" xr:uid="{2CC0FEE1-2A93-4CCF-8F25-0DC51346E230}"/>
    <cellStyle name="Normal 3 3 7" xfId="393" xr:uid="{E4661D5A-8931-4D3A-B5D8-8BDCACB246F3}"/>
    <cellStyle name="Normal 3 3 7 2" xfId="1141" xr:uid="{BB7644C9-E9C6-4AEC-A6B8-3FCC36E517EF}"/>
    <cellStyle name="Normal 3 3 8" xfId="767" xr:uid="{8D0B98F0-22EE-4D49-9265-AC6C1E7F8CA8}"/>
    <cellStyle name="Normal 3 4" xfId="21" xr:uid="{ACFC5400-8A39-4ABA-A401-EC4222EE960E}"/>
    <cellStyle name="Normal 3 4 2" xfId="107" xr:uid="{B9691E62-FF4D-40AB-B3A3-5397DEE998A0}"/>
    <cellStyle name="Normal 3 4 2 2" xfId="270" xr:uid="{6563BE84-2BDD-4392-83EF-ACC429ED3D04}"/>
    <cellStyle name="Normal 3 4 2 2 2" xfId="644" xr:uid="{609EE4EB-C12D-4D2C-ABE8-D1E92669E203}"/>
    <cellStyle name="Normal 3 4 2 2 2 2" xfId="1392" xr:uid="{FD3ACA89-01D3-4ADF-853E-39362D02D882}"/>
    <cellStyle name="Normal 3 4 2 2 3" xfId="1018" xr:uid="{1344F0C9-CC21-44BC-99C6-9AAB65D4DB62}"/>
    <cellStyle name="Normal 3 4 2 3" xfId="481" xr:uid="{2FD9C2FD-DF18-48A1-B4A6-1E5942E5E509}"/>
    <cellStyle name="Normal 3 4 2 3 2" xfId="1229" xr:uid="{132DAEF4-001F-48C3-9EE7-B3833ADC7396}"/>
    <cellStyle name="Normal 3 4 2 4" xfId="855" xr:uid="{A93469DE-6B8A-4244-9259-EEE20DAA8B4C}"/>
    <cellStyle name="Normal 3 4 3" xfId="159" xr:uid="{B67DD420-20FC-4C5E-90D6-BA73553CCF37}"/>
    <cellStyle name="Normal 3 4 3 2" xfId="322" xr:uid="{5D7680EE-FAA6-4EB5-81C3-F3ABA56C5D30}"/>
    <cellStyle name="Normal 3 4 3 2 2" xfId="696" xr:uid="{1C1D851E-616A-4CBA-A8CF-89F9145E7BB4}"/>
    <cellStyle name="Normal 3 4 3 2 2 2" xfId="1444" xr:uid="{0DD6655D-ECC4-48C7-89FC-0A5496A64DFE}"/>
    <cellStyle name="Normal 3 4 3 2 3" xfId="1070" xr:uid="{C8083697-F264-4EFB-8459-2FED6D0AA5A3}"/>
    <cellStyle name="Normal 3 4 3 3" xfId="533" xr:uid="{1B77CADA-A9CA-484E-93D0-42F9CE97C80C}"/>
    <cellStyle name="Normal 3 4 3 3 2" xfId="1281" xr:uid="{859A5920-E4D1-434C-A4FB-5EAA4A0E4914}"/>
    <cellStyle name="Normal 3 4 3 4" xfId="907" xr:uid="{D4DDE589-223D-464A-A8A8-964F3044CE9C}"/>
    <cellStyle name="Normal 3 4 4" xfId="201" xr:uid="{06FE3070-C19B-4DEF-9EDB-77FEF6A77D22}"/>
    <cellStyle name="Normal 3 4 4 2" xfId="575" xr:uid="{A97F265E-BAB4-4361-91F2-907BB9913495}"/>
    <cellStyle name="Normal 3 4 4 2 2" xfId="1323" xr:uid="{10591EDF-CDFC-4B2C-913C-10FFC9B53345}"/>
    <cellStyle name="Normal 3 4 4 3" xfId="949" xr:uid="{6CF6AB1C-0973-49A9-904C-C25CB9A819BD}"/>
    <cellStyle name="Normal 3 4 5" xfId="346" xr:uid="{E3B3D58C-BF27-4CA9-BC75-5DCE7996C84D}"/>
    <cellStyle name="Normal 3 4 5 2" xfId="720" xr:uid="{6661030E-87A2-439C-9F26-261DDDA87922}"/>
    <cellStyle name="Normal 3 4 5 2 2" xfId="1468" xr:uid="{98C43FF1-D890-4943-8BCC-702BC938515E}"/>
    <cellStyle name="Normal 3 4 5 3" xfId="1094" xr:uid="{7879BF27-1E78-4E55-B1F2-248231B72122}"/>
    <cellStyle name="Normal 3 4 6" xfId="372" xr:uid="{3AD6B8C8-BB63-42F1-A990-565B65C52EDA}"/>
    <cellStyle name="Normal 3 4 6 2" xfId="746" xr:uid="{6746FC8E-E9BB-486C-BAEF-511DD5CD9CD4}"/>
    <cellStyle name="Normal 3 4 6 2 2" xfId="1494" xr:uid="{BF2F8671-2C9A-40BC-A8D2-124EF78DBFFB}"/>
    <cellStyle name="Normal 3 4 6 3" xfId="1120" xr:uid="{17D3EF46-8D2C-4B11-8F0F-71644AFA5145}"/>
    <cellStyle name="Normal 3 4 7" xfId="395" xr:uid="{8B281A82-46D9-49F5-A020-6BEEFCA8340D}"/>
    <cellStyle name="Normal 3 4 7 2" xfId="1143" xr:uid="{71041DB9-DCB1-40F6-A283-AC1D84796FE4}"/>
    <cellStyle name="Normal 3 4 8" xfId="769" xr:uid="{8E78DA98-D247-40CD-9734-C5B184F7135D}"/>
    <cellStyle name="Normal 3 5" xfId="23" xr:uid="{9883DBAC-0169-4B47-9633-2ADCB59D88EB}"/>
    <cellStyle name="Normal 3 5 2" xfId="108" xr:uid="{516A5408-3DF4-49FB-8D86-81D6BD15D053}"/>
    <cellStyle name="Normal 3 5 2 2" xfId="271" xr:uid="{CBE45522-54F3-431F-9727-217A00B22A41}"/>
    <cellStyle name="Normal 3 5 2 2 2" xfId="645" xr:uid="{1077E3CC-D581-41E8-9F67-ED2D09163094}"/>
    <cellStyle name="Normal 3 5 2 2 2 2" xfId="1393" xr:uid="{CBE55A51-6C3C-4ECC-A88C-36A0097537EC}"/>
    <cellStyle name="Normal 3 5 2 2 3" xfId="1019" xr:uid="{63DFF1A5-5181-43E8-8CBE-96E61D54CF1C}"/>
    <cellStyle name="Normal 3 5 2 3" xfId="482" xr:uid="{9A8A2A98-5FBF-4BD8-8979-7F6545979A02}"/>
    <cellStyle name="Normal 3 5 2 3 2" xfId="1230" xr:uid="{06A814CB-6627-48FB-8947-6E40B609877C}"/>
    <cellStyle name="Normal 3 5 2 4" xfId="856" xr:uid="{DBAA88C7-CFCE-4C13-A350-E79B06235607}"/>
    <cellStyle name="Normal 3 5 3" xfId="161" xr:uid="{9CD9FEBA-4099-42A0-A253-47094D612F13}"/>
    <cellStyle name="Normal 3 5 3 2" xfId="324" xr:uid="{DF2B88CE-558C-401A-B538-038B96B7695B}"/>
    <cellStyle name="Normal 3 5 3 2 2" xfId="698" xr:uid="{BA9D3916-57EC-4F08-A73D-DE181437D90A}"/>
    <cellStyle name="Normal 3 5 3 2 2 2" xfId="1446" xr:uid="{440C207C-1DF4-45C3-A3C8-15C5D060BB5A}"/>
    <cellStyle name="Normal 3 5 3 2 3" xfId="1072" xr:uid="{568B1987-A967-41D5-A6F7-6F9068D2EA85}"/>
    <cellStyle name="Normal 3 5 3 3" xfId="535" xr:uid="{EF642DA4-68F0-4CB0-9BE4-C9FCD5152032}"/>
    <cellStyle name="Normal 3 5 3 3 2" xfId="1283" xr:uid="{FED7908A-C951-4B5F-9429-03B0A63DFD99}"/>
    <cellStyle name="Normal 3 5 3 4" xfId="909" xr:uid="{481932ED-1CF8-46D1-AE70-7ABDDADE5602}"/>
    <cellStyle name="Normal 3 5 4" xfId="202" xr:uid="{74756F82-A906-4491-B581-A84B92D6AB14}"/>
    <cellStyle name="Normal 3 5 4 2" xfId="576" xr:uid="{38CB2F23-B92B-4B09-990C-3554ADBC4831}"/>
    <cellStyle name="Normal 3 5 4 2 2" xfId="1324" xr:uid="{A9981BF7-CA68-466B-9C36-AE6F90A3AB49}"/>
    <cellStyle name="Normal 3 5 4 3" xfId="950" xr:uid="{1762E561-B449-45A5-B018-13B8ADD5FFA1}"/>
    <cellStyle name="Normal 3 5 5" xfId="348" xr:uid="{0DEAD262-FB89-4EF5-9AF4-FD54F4B262D0}"/>
    <cellStyle name="Normal 3 5 5 2" xfId="722" xr:uid="{BF2F8E30-58A1-4A4F-B6BE-2BCAC24E9147}"/>
    <cellStyle name="Normal 3 5 5 2 2" xfId="1470" xr:uid="{82FE23F6-5CA9-4229-9C6A-9556C02005B4}"/>
    <cellStyle name="Normal 3 5 5 3" xfId="1096" xr:uid="{2193276D-2016-47D7-82AA-1335CFBEB1A2}"/>
    <cellStyle name="Normal 3 5 6" xfId="373" xr:uid="{BC537B95-7EAD-41CA-870D-B982183483C6}"/>
    <cellStyle name="Normal 3 5 6 2" xfId="747" xr:uid="{CC864529-7EF8-4645-B328-1B5DE0C328F9}"/>
    <cellStyle name="Normal 3 5 6 2 2" xfId="1495" xr:uid="{FC5C34F5-C56C-49B1-B169-AC2F3E7CEC0F}"/>
    <cellStyle name="Normal 3 5 6 3" xfId="1121" xr:uid="{20FC3D83-53DC-4A2C-A3EC-3C1101511C4E}"/>
    <cellStyle name="Normal 3 5 7" xfId="397" xr:uid="{363F401F-70DD-4CEB-8B69-083FA6870833}"/>
    <cellStyle name="Normal 3 5 7 2" xfId="1145" xr:uid="{85DBE07A-CE68-43B6-88DC-25F1B1881F35}"/>
    <cellStyle name="Normal 3 5 8" xfId="771" xr:uid="{E8ADDFE8-07D5-4296-BC07-5CD193C26E7F}"/>
    <cellStyle name="Normal 3 6" xfId="25" xr:uid="{FF7D49CA-295C-4841-8839-2E3DFF3C49C3}"/>
    <cellStyle name="Normal 3 6 2" xfId="110" xr:uid="{6E933306-2AB1-41B2-BC7B-C7BAB4CC449A}"/>
    <cellStyle name="Normal 3 6 2 2" xfId="273" xr:uid="{5A1596AC-77C9-4669-BCB6-C8DEF9CD0D1A}"/>
    <cellStyle name="Normal 3 6 2 2 2" xfId="647" xr:uid="{2647A7CC-EF97-45E9-AB54-36C10F831F10}"/>
    <cellStyle name="Normal 3 6 2 2 2 2" xfId="1395" xr:uid="{905DB677-C66F-4ED5-9E00-5896C5436044}"/>
    <cellStyle name="Normal 3 6 2 2 3" xfId="1021" xr:uid="{807B1EE7-CE04-4735-A34F-A7F94603222F}"/>
    <cellStyle name="Normal 3 6 2 3" xfId="484" xr:uid="{0D873646-859F-49F2-9C3A-9688A03EE8ED}"/>
    <cellStyle name="Normal 3 6 2 3 2" xfId="1232" xr:uid="{1C1D7842-13FB-4E79-891B-622BC4142847}"/>
    <cellStyle name="Normal 3 6 2 4" xfId="858" xr:uid="{7FDA0C64-4BAB-46E0-B4A9-75CB02322F1E}"/>
    <cellStyle name="Normal 3 6 3" xfId="163" xr:uid="{F49772FB-2CEF-4159-A27D-51CCFD0231E1}"/>
    <cellStyle name="Normal 3 6 3 2" xfId="326" xr:uid="{F5C88B44-BB32-4270-9EAB-C345053642CE}"/>
    <cellStyle name="Normal 3 6 3 2 2" xfId="700" xr:uid="{096DE8FA-8466-43A2-90FD-AAEFA377C314}"/>
    <cellStyle name="Normal 3 6 3 2 2 2" xfId="1448" xr:uid="{CEFEC534-8ADD-4FD7-AF6F-7AA1E9C482F3}"/>
    <cellStyle name="Normal 3 6 3 2 3" xfId="1074" xr:uid="{10C7C59C-BB26-4E5E-AC06-4A3C637CADC2}"/>
    <cellStyle name="Normal 3 6 3 3" xfId="537" xr:uid="{2748C641-2974-4082-8C18-9477DDB13A3D}"/>
    <cellStyle name="Normal 3 6 3 3 2" xfId="1285" xr:uid="{27DF9943-1DEC-4EF7-B479-44F072550497}"/>
    <cellStyle name="Normal 3 6 3 4" xfId="911" xr:uid="{A2CC0DB0-A1DE-4B30-A653-4577FB61E9A2}"/>
    <cellStyle name="Normal 3 6 4" xfId="204" xr:uid="{E39C0444-0602-4ADB-98BC-59EA4AA05E28}"/>
    <cellStyle name="Normal 3 6 4 2" xfId="578" xr:uid="{A849C00D-4477-47AF-925F-B79701B7E18C}"/>
    <cellStyle name="Normal 3 6 4 2 2" xfId="1326" xr:uid="{908898EC-F6AF-4D5A-95D9-C931FEE03464}"/>
    <cellStyle name="Normal 3 6 4 3" xfId="952" xr:uid="{268712C7-CD8D-4783-B708-95452449A0B0}"/>
    <cellStyle name="Normal 3 6 5" xfId="350" xr:uid="{7C5E859D-518F-44BE-B532-A1A8C4887118}"/>
    <cellStyle name="Normal 3 6 5 2" xfId="724" xr:uid="{9D6FA6A1-1894-4851-A1A8-98319C59890C}"/>
    <cellStyle name="Normal 3 6 5 2 2" xfId="1472" xr:uid="{13D4BC16-680A-47AF-AA0D-CFD17B241F63}"/>
    <cellStyle name="Normal 3 6 5 3" xfId="1098" xr:uid="{91E2EE69-AE13-4AEC-A420-E42770E1136C}"/>
    <cellStyle name="Normal 3 6 6" xfId="374" xr:uid="{356D8427-A648-4687-90CA-158EFC322359}"/>
    <cellStyle name="Normal 3 6 6 2" xfId="748" xr:uid="{05809ED0-8EFD-4547-8422-2D31B3AE8CE1}"/>
    <cellStyle name="Normal 3 6 6 2 2" xfId="1496" xr:uid="{4F48F34F-4CAE-4CB9-8390-42ABDAC01D2B}"/>
    <cellStyle name="Normal 3 6 6 3" xfId="1122" xr:uid="{27EABD16-42E5-4AAF-9AE5-3A2AB68CD4B1}"/>
    <cellStyle name="Normal 3 6 7" xfId="399" xr:uid="{E1822F1B-D014-421C-BEA9-823290A951AE}"/>
    <cellStyle name="Normal 3 6 7 2" xfId="1147" xr:uid="{AD0BA8FA-1D1D-41C5-9DA5-5D84777EED86}"/>
    <cellStyle name="Normal 3 6 8" xfId="773" xr:uid="{F5DB7440-30DB-4D3D-BF92-49FB0EEA4A65}"/>
    <cellStyle name="Normal 3 7" xfId="102" xr:uid="{C66ACEB1-4387-4ADD-BB47-11751574A790}"/>
    <cellStyle name="Normal 3 7 2" xfId="265" xr:uid="{36A25421-DC58-4F8E-95CB-05BF05EC8A97}"/>
    <cellStyle name="Normal 3 7 2 2" xfId="639" xr:uid="{A300C59E-1297-413C-858A-77A33D0A59FC}"/>
    <cellStyle name="Normal 3 7 2 2 2" xfId="1387" xr:uid="{8FB2F641-CE63-465A-8E9E-E61D68B131DE}"/>
    <cellStyle name="Normal 3 7 2 3" xfId="1013" xr:uid="{625E36E8-6B73-439D-8C66-76718BC8C9CE}"/>
    <cellStyle name="Normal 3 7 3" xfId="476" xr:uid="{16CF5C8C-7B03-4A1F-8453-A87745BC3CDF}"/>
    <cellStyle name="Normal 3 7 3 2" xfId="1224" xr:uid="{E149B48A-ECBB-4CB1-873D-F91B144C5F92}"/>
    <cellStyle name="Normal 3 7 4" xfId="850" xr:uid="{581FA029-E02A-41E7-8490-81A310204351}"/>
    <cellStyle name="Normal 3 8" xfId="143" xr:uid="{6C453C61-27EE-43AA-A363-B1BDE1973B9E}"/>
    <cellStyle name="Normal 3 8 2" xfId="306" xr:uid="{328EF0AA-7CC5-4F74-AE44-862981852119}"/>
    <cellStyle name="Normal 3 8 2 2" xfId="680" xr:uid="{004DFD4B-397A-4669-9E9D-717C4B63466F}"/>
    <cellStyle name="Normal 3 8 2 2 2" xfId="1428" xr:uid="{262FBC22-2548-40B9-90AA-F79AC9677AC3}"/>
    <cellStyle name="Normal 3 8 2 3" xfId="1054" xr:uid="{FC976AE1-797B-4D05-A704-FA45A90DA1A3}"/>
    <cellStyle name="Normal 3 8 3" xfId="517" xr:uid="{DE250FB3-4857-47C3-8757-C560242B9058}"/>
    <cellStyle name="Normal 3 8 3 2" xfId="1265" xr:uid="{BFFABADE-B0F7-4B77-9B83-15C66F8EDF1D}"/>
    <cellStyle name="Normal 3 8 4" xfId="891" xr:uid="{AD5CFAF3-B48E-4282-B294-5370EEBF9C65}"/>
    <cellStyle name="Normal 3 9" xfId="196" xr:uid="{068B23C5-9B2E-4F17-BC1A-EB2D4A6EF025}"/>
    <cellStyle name="Normal 3 9 2" xfId="570" xr:uid="{003C90F6-EACB-4067-BF29-2B65336D5176}"/>
    <cellStyle name="Normal 3 9 2 2" xfId="1318" xr:uid="{69B68A78-C63B-41BC-9A52-5420BCB0B8A8}"/>
    <cellStyle name="Normal 3 9 3" xfId="944" xr:uid="{47AD8B40-0F21-4ACF-827B-07AEDF30395B}"/>
    <cellStyle name="Normal 4" xfId="26" xr:uid="{97415FBC-E258-4D8E-A8F9-4632452E35C6}"/>
    <cellStyle name="Normal 4 2" xfId="111" xr:uid="{79E47F08-1BCE-48F7-AF42-6BE35D52A31F}"/>
    <cellStyle name="Normal 4 2 2" xfId="274" xr:uid="{EA5FBAE7-B642-44F0-AA46-FDC820DF16AE}"/>
    <cellStyle name="Normal 4 2 2 2" xfId="648" xr:uid="{0A421FB9-0EDD-4906-BD55-859A27082451}"/>
    <cellStyle name="Normal 4 2 2 2 2" xfId="1396" xr:uid="{478B547F-D3B2-4AEE-BB2B-0F568F78D2AC}"/>
    <cellStyle name="Normal 4 2 2 3" xfId="1022" xr:uid="{F8836433-9C88-4AA6-BE46-9B3F3BABF55C}"/>
    <cellStyle name="Normal 4 2 3" xfId="485" xr:uid="{CB4FD3D3-2FAB-45B2-AB72-5D12A1AB6985}"/>
    <cellStyle name="Normal 4 2 3 2" xfId="1233" xr:uid="{0B059FDB-D481-4297-A21C-F3FFFEF8E418}"/>
    <cellStyle name="Normal 4 2 4" xfId="859" xr:uid="{4EB24A5A-39C9-4E58-9A83-3413FB9B8A5D}"/>
    <cellStyle name="Normal 4 3" xfId="164" xr:uid="{8C4439B4-29E8-4797-9F03-BBA3EA0DF6AB}"/>
    <cellStyle name="Normal 4 3 2" xfId="327" xr:uid="{35EF12C0-7C56-4A32-BDBD-CD8F41EF10EB}"/>
    <cellStyle name="Normal 4 3 2 2" xfId="701" xr:uid="{EF9DC7B5-E2A1-4280-9E1C-AEC71AFF66F7}"/>
    <cellStyle name="Normal 4 3 2 2 2" xfId="1449" xr:uid="{F471EFDF-6A9C-4994-879F-837E9799319E}"/>
    <cellStyle name="Normal 4 3 2 3" xfId="1075" xr:uid="{D3E2EF12-34B8-44E7-BB85-0AE8225B4A41}"/>
    <cellStyle name="Normal 4 3 3" xfId="538" xr:uid="{4EA21FFD-E325-4608-9DBB-62258351A907}"/>
    <cellStyle name="Normal 4 3 3 2" xfId="1286" xr:uid="{72B2969C-BAE6-4F1D-A76A-5E19CDAF924F}"/>
    <cellStyle name="Normal 4 3 4" xfId="912" xr:uid="{132740B7-DE61-4941-A1E4-489F250DE06B}"/>
    <cellStyle name="Normal 4 4" xfId="205" xr:uid="{30ED5D59-2B26-4663-9761-A536CDFC452A}"/>
    <cellStyle name="Normal 4 4 2" xfId="579" xr:uid="{4C292C0B-0FDC-404C-B4C9-CCAB82615361}"/>
    <cellStyle name="Normal 4 4 2 2" xfId="1327" xr:uid="{9BD52486-1DC5-44AA-8D1A-EEEEDBE8AA91}"/>
    <cellStyle name="Normal 4 4 3" xfId="953" xr:uid="{44573997-42FD-40CB-8B4E-BD0696473AB6}"/>
    <cellStyle name="Normal 4 5" xfId="351" xr:uid="{630D3BE4-6CA9-4297-99AA-4369226F6712}"/>
    <cellStyle name="Normal 4 5 2" xfId="725" xr:uid="{28F476DB-37EF-4C11-874B-AD8482B5AFEB}"/>
    <cellStyle name="Normal 4 5 2 2" xfId="1473" xr:uid="{09E7A616-5FFF-4581-A8FF-D523E75BC425}"/>
    <cellStyle name="Normal 4 5 3" xfId="1099" xr:uid="{EC29EE34-4177-4FF7-BE06-AD1F94C8BE7B}"/>
    <cellStyle name="Normal 4 6" xfId="375" xr:uid="{E9E681B5-4670-4185-93A2-E15745BD413A}"/>
    <cellStyle name="Normal 4 6 2" xfId="749" xr:uid="{B75493B9-5C51-4E50-8E42-95FFDF73A366}"/>
    <cellStyle name="Normal 4 6 2 2" xfId="1497" xr:uid="{F215723F-9DB3-4D10-8B2B-A88790FCF828}"/>
    <cellStyle name="Normal 4 6 3" xfId="1123" xr:uid="{B0105467-7A8C-40E7-AF90-6AB910C3E659}"/>
    <cellStyle name="Normal 4 7" xfId="400" xr:uid="{27B65A41-9D17-45E6-86AE-66B0EE1546C1}"/>
    <cellStyle name="Normal 4 7 2" xfId="1148" xr:uid="{BCDD68A7-1346-4C54-ADEE-67FA3E6079D3}"/>
    <cellStyle name="Normal 4 8" xfId="774" xr:uid="{F3CE9523-48F5-47B2-AB3D-9E42743AB8A6}"/>
    <cellStyle name="Normal 5" xfId="1498" xr:uid="{1F59A08C-E188-40AB-943C-C6E794EF6002}"/>
  </cellStyles>
  <dxfs count="0"/>
  <tableStyles count="0" defaultTableStyle="TableStyleMedium9" defaultPivotStyle="PivotStyleLight16"/>
  <colors>
    <mruColors>
      <color rgb="FF006600"/>
      <color rgb="FF0000FF"/>
      <color rgb="FF008000"/>
      <color rgb="FFFFFF00"/>
      <color rgb="FF95B3D7"/>
      <color rgb="FFB1A0C7"/>
      <color rgb="FFFF00FF"/>
      <color rgb="FF003399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659424</xdr:colOff>
      <xdr:row>0</xdr:row>
      <xdr:rowOff>122115</xdr:rowOff>
    </xdr:from>
    <xdr:to>
      <xdr:col>12</xdr:col>
      <xdr:colOff>1318847</xdr:colOff>
      <xdr:row>4</xdr:row>
      <xdr:rowOff>1103838</xdr:rowOff>
    </xdr:to>
    <xdr:pic>
      <xdr:nvPicPr>
        <xdr:cNvPr id="371134" name="Picture 1">
          <a:extLst>
            <a:ext uri="{FF2B5EF4-FFF2-40B4-BE49-F238E27FC236}">
              <a16:creationId xmlns:a16="http://schemas.microsoft.com/office/drawing/2014/main" id="{00000000-0008-0000-0000-0000BEA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78462" y="122115"/>
          <a:ext cx="3810000" cy="28378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J615"/>
  <sheetViews>
    <sheetView showGridLines="0" tabSelected="1" view="pageBreakPreview" zoomScale="40" zoomScaleNormal="30" zoomScaleSheetLayoutView="40" workbookViewId="0">
      <pane ySplit="10" topLeftCell="A556" activePane="bottomLeft" state="frozen"/>
      <selection pane="bottomLeft" activeCell="N561" sqref="N561"/>
    </sheetView>
  </sheetViews>
  <sheetFormatPr defaultColWidth="9.42578125" defaultRowHeight="35.25" x14ac:dyDescent="0.5"/>
  <cols>
    <col min="1" max="1" width="36.140625" style="229" customWidth="1"/>
    <col min="2" max="2" width="20.42578125" style="346" customWidth="1"/>
    <col min="3" max="3" width="53.5703125" style="347" customWidth="1"/>
    <col min="4" max="4" width="28" style="346" customWidth="1"/>
    <col min="5" max="5" width="44.85546875" style="229" customWidth="1"/>
    <col min="6" max="6" width="42.5703125" style="229" customWidth="1"/>
    <col min="7" max="7" width="22.7109375" style="37" customWidth="1"/>
    <col min="8" max="8" width="21.5703125" style="38" customWidth="1"/>
    <col min="9" max="9" width="21.85546875" style="379" customWidth="1"/>
    <col min="10" max="10" width="29.5703125" style="379" customWidth="1"/>
    <col min="11" max="11" width="23.42578125" style="379" customWidth="1"/>
    <col min="12" max="12" width="23.7109375" style="379" customWidth="1"/>
    <col min="13" max="13" width="27.5703125" style="379" customWidth="1"/>
    <col min="14" max="14" width="24" style="379" customWidth="1"/>
    <col min="15" max="15" width="26.5703125" style="26" customWidth="1"/>
    <col min="16" max="16" width="20.5703125" style="384" customWidth="1"/>
    <col min="17" max="17" width="25.42578125" style="26" customWidth="1"/>
    <col min="18" max="18" width="22.140625" style="384" customWidth="1"/>
    <col min="19" max="19" width="104.5703125" style="348" customWidth="1"/>
    <col min="20" max="20" width="91.140625" style="190" customWidth="1"/>
    <col min="21" max="29" width="9.42578125" style="190" hidden="1" customWidth="1"/>
    <col min="30" max="30" width="10.42578125" style="190" hidden="1" customWidth="1"/>
    <col min="31" max="33" width="0" style="190" hidden="1" customWidth="1"/>
    <col min="34" max="34" width="16.5703125" style="190" hidden="1" customWidth="1"/>
    <col min="35" max="35" width="0" style="190" hidden="1" customWidth="1"/>
    <col min="36" max="36" width="16.5703125" style="190" hidden="1" customWidth="1"/>
    <col min="37" max="51" width="0" style="190" hidden="1" customWidth="1"/>
    <col min="52" max="16384" width="9.42578125" style="190"/>
  </cols>
  <sheetData>
    <row r="1" spans="1:30" ht="45" customHeight="1" x14ac:dyDescent="0.45">
      <c r="A1" s="445"/>
      <c r="B1" s="446"/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7"/>
      <c r="U1" s="187"/>
      <c r="V1" s="188"/>
      <c r="W1" s="188"/>
      <c r="X1" s="188"/>
      <c r="Y1" s="188"/>
      <c r="Z1" s="188"/>
      <c r="AA1" s="188"/>
      <c r="AB1" s="188"/>
      <c r="AC1" s="188"/>
      <c r="AD1" s="189"/>
    </row>
    <row r="2" spans="1:30" ht="35.85" customHeight="1" x14ac:dyDescent="0.45">
      <c r="A2" s="448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50"/>
      <c r="U2" s="191"/>
      <c r="AD2" s="192"/>
    </row>
    <row r="3" spans="1:30" ht="34.5" x14ac:dyDescent="0.45">
      <c r="A3" s="448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  <c r="R3" s="449"/>
      <c r="S3" s="449"/>
      <c r="T3" s="450"/>
      <c r="U3" s="191"/>
      <c r="AD3" s="192"/>
    </row>
    <row r="4" spans="1:30" ht="33" customHeight="1" x14ac:dyDescent="0.45">
      <c r="A4" s="448"/>
      <c r="B4" s="449"/>
      <c r="C4" s="449"/>
      <c r="D4" s="449"/>
      <c r="E4" s="449"/>
      <c r="F4" s="449"/>
      <c r="G4" s="449"/>
      <c r="H4" s="449"/>
      <c r="I4" s="449"/>
      <c r="J4" s="449"/>
      <c r="K4" s="449"/>
      <c r="L4" s="449"/>
      <c r="M4" s="449"/>
      <c r="N4" s="449"/>
      <c r="O4" s="449"/>
      <c r="P4" s="449"/>
      <c r="Q4" s="449"/>
      <c r="R4" s="449"/>
      <c r="S4" s="449"/>
      <c r="T4" s="450"/>
      <c r="U4" s="191"/>
      <c r="AD4" s="192"/>
    </row>
    <row r="5" spans="1:30" ht="93" customHeight="1" thickBot="1" x14ac:dyDescent="0.5">
      <c r="A5" s="448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49"/>
      <c r="P5" s="449"/>
      <c r="Q5" s="449"/>
      <c r="R5" s="449"/>
      <c r="S5" s="449"/>
      <c r="T5" s="450"/>
      <c r="U5" s="191"/>
      <c r="AD5" s="192"/>
    </row>
    <row r="6" spans="1:30" s="31" customFormat="1" ht="67.5" customHeight="1" thickTop="1" thickBot="1" x14ac:dyDescent="0.5">
      <c r="A6" s="451" t="s">
        <v>333</v>
      </c>
      <c r="B6" s="452"/>
      <c r="C6" s="452"/>
      <c r="D6" s="452"/>
      <c r="E6" s="452"/>
      <c r="F6" s="452"/>
      <c r="G6" s="452"/>
      <c r="H6" s="452"/>
      <c r="I6" s="452"/>
      <c r="J6" s="452"/>
      <c r="K6" s="452"/>
      <c r="L6" s="452"/>
      <c r="M6" s="452"/>
      <c r="N6" s="452"/>
      <c r="O6" s="452"/>
      <c r="P6" s="452"/>
      <c r="Q6" s="452"/>
      <c r="R6" s="452"/>
      <c r="S6" s="452"/>
      <c r="T6" s="453"/>
      <c r="U6" s="32"/>
      <c r="AD6" s="41"/>
    </row>
    <row r="7" spans="1:30" s="31" customFormat="1" ht="39" customHeight="1" thickTop="1" x14ac:dyDescent="0.45">
      <c r="A7" s="454" t="s">
        <v>19</v>
      </c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5"/>
      <c r="R7" s="455"/>
      <c r="S7" s="455"/>
      <c r="T7" s="456"/>
      <c r="U7" s="32"/>
      <c r="AD7" s="41"/>
    </row>
    <row r="8" spans="1:30" s="33" customFormat="1" ht="92.85" customHeight="1" thickBot="1" x14ac:dyDescent="0.25">
      <c r="A8" s="457" t="s">
        <v>226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458"/>
      <c r="Q8" s="458"/>
      <c r="R8" s="458"/>
      <c r="S8" s="458"/>
      <c r="T8" s="459"/>
      <c r="U8" s="34"/>
      <c r="AD8" s="42"/>
    </row>
    <row r="9" spans="1:30" s="33" customFormat="1" ht="38.25" customHeight="1" thickBot="1" x14ac:dyDescent="0.25">
      <c r="A9" s="460" t="s">
        <v>20</v>
      </c>
      <c r="B9" s="460" t="s">
        <v>21</v>
      </c>
      <c r="C9" s="462" t="s">
        <v>22</v>
      </c>
      <c r="D9" s="470" t="s">
        <v>23</v>
      </c>
      <c r="E9" s="460" t="s">
        <v>24</v>
      </c>
      <c r="F9" s="460" t="s">
        <v>25</v>
      </c>
      <c r="G9" s="468" t="s">
        <v>26</v>
      </c>
      <c r="H9" s="468" t="s">
        <v>28</v>
      </c>
      <c r="I9" s="475" t="s">
        <v>151</v>
      </c>
      <c r="J9" s="386" t="s">
        <v>152</v>
      </c>
      <c r="K9" s="475" t="s">
        <v>27</v>
      </c>
      <c r="L9" s="475" t="s">
        <v>29</v>
      </c>
      <c r="M9" s="387" t="s">
        <v>153</v>
      </c>
      <c r="N9" s="388" t="s">
        <v>154</v>
      </c>
      <c r="O9" s="473" t="s">
        <v>30</v>
      </c>
      <c r="P9" s="474"/>
      <c r="Q9" s="473" t="s">
        <v>31</v>
      </c>
      <c r="R9" s="483"/>
      <c r="S9" s="464" t="s">
        <v>32</v>
      </c>
      <c r="T9" s="465"/>
      <c r="U9" s="34"/>
      <c r="AD9" s="42"/>
    </row>
    <row r="10" spans="1:30" s="31" customFormat="1" ht="55.5" customHeight="1" thickBot="1" x14ac:dyDescent="0.5">
      <c r="A10" s="461"/>
      <c r="B10" s="461"/>
      <c r="C10" s="463"/>
      <c r="D10" s="471"/>
      <c r="E10" s="472"/>
      <c r="F10" s="472"/>
      <c r="G10" s="469"/>
      <c r="H10" s="469"/>
      <c r="I10" s="476"/>
      <c r="J10" s="389" t="s">
        <v>155</v>
      </c>
      <c r="K10" s="476"/>
      <c r="L10" s="476"/>
      <c r="M10" s="389" t="s">
        <v>156</v>
      </c>
      <c r="N10" s="103" t="s">
        <v>157</v>
      </c>
      <c r="O10" s="390" t="s">
        <v>33</v>
      </c>
      <c r="P10" s="391" t="s">
        <v>34</v>
      </c>
      <c r="Q10" s="390" t="s">
        <v>33</v>
      </c>
      <c r="R10" s="392" t="s">
        <v>34</v>
      </c>
      <c r="S10" s="466"/>
      <c r="T10" s="467"/>
      <c r="U10" s="32"/>
      <c r="AD10" s="41"/>
    </row>
    <row r="11" spans="1:30" ht="33" customHeight="1" x14ac:dyDescent="0.5">
      <c r="A11" s="193" t="s">
        <v>147</v>
      </c>
      <c r="B11" s="490" t="s">
        <v>148</v>
      </c>
      <c r="C11" s="194"/>
      <c r="D11" s="194"/>
      <c r="E11" s="195"/>
      <c r="F11" s="195"/>
      <c r="G11" s="350"/>
      <c r="H11" s="350"/>
      <c r="I11" s="359"/>
      <c r="J11" s="359"/>
      <c r="K11" s="359"/>
      <c r="L11" s="359"/>
      <c r="M11" s="359"/>
      <c r="N11" s="381"/>
      <c r="O11" s="131"/>
      <c r="P11" s="381"/>
      <c r="Q11" s="131"/>
      <c r="R11" s="381"/>
      <c r="S11" s="196" t="s">
        <v>301</v>
      </c>
      <c r="T11" s="197"/>
      <c r="U11" s="198"/>
      <c r="V11" s="199"/>
      <c r="W11" s="199"/>
      <c r="X11" s="199"/>
      <c r="Y11" s="199"/>
      <c r="Z11" s="199"/>
      <c r="AA11" s="199"/>
      <c r="AB11" s="199"/>
      <c r="AC11" s="199"/>
      <c r="AD11" s="200"/>
    </row>
    <row r="12" spans="1:30" ht="33" customHeight="1" x14ac:dyDescent="0.5">
      <c r="A12" s="201" t="s">
        <v>173</v>
      </c>
      <c r="B12" s="491"/>
      <c r="C12" s="202" t="s">
        <v>128</v>
      </c>
      <c r="D12" s="202" t="s">
        <v>43</v>
      </c>
      <c r="E12" s="393" t="s">
        <v>195</v>
      </c>
      <c r="F12" s="393" t="s">
        <v>35</v>
      </c>
      <c r="G12" s="351">
        <v>0.25</v>
      </c>
      <c r="H12" s="352">
        <v>0.30208333333333331</v>
      </c>
      <c r="I12" s="365">
        <v>0.24305555555555555</v>
      </c>
      <c r="J12" s="365">
        <v>0.24305555555555555</v>
      </c>
      <c r="K12" s="365">
        <v>0.25277777777777777</v>
      </c>
      <c r="L12" s="365">
        <v>0.30208333333333331</v>
      </c>
      <c r="M12" s="365">
        <v>0.30694444444444446</v>
      </c>
      <c r="N12" s="365">
        <f>SUM(M12-J12)</f>
        <v>6.3888888888888912E-2</v>
      </c>
      <c r="O12" s="132">
        <v>46</v>
      </c>
      <c r="P12" s="104">
        <v>42</v>
      </c>
      <c r="Q12" s="132">
        <v>200</v>
      </c>
      <c r="R12" s="104">
        <v>132</v>
      </c>
      <c r="S12" s="204" t="s">
        <v>276</v>
      </c>
      <c r="T12" s="205"/>
      <c r="U12" s="198"/>
      <c r="V12" s="199"/>
      <c r="W12" s="199"/>
      <c r="X12" s="199"/>
      <c r="Y12" s="199"/>
      <c r="Z12" s="199"/>
      <c r="AA12" s="199"/>
      <c r="AB12" s="199"/>
      <c r="AC12" s="199"/>
      <c r="AD12" s="200"/>
    </row>
    <row r="13" spans="1:30" ht="33" customHeight="1" x14ac:dyDescent="0.5">
      <c r="A13" s="201" t="s">
        <v>211</v>
      </c>
      <c r="B13" s="491"/>
      <c r="C13" s="202"/>
      <c r="D13" s="202"/>
      <c r="E13" s="393" t="s">
        <v>35</v>
      </c>
      <c r="F13" s="393" t="s">
        <v>38</v>
      </c>
      <c r="G13" s="352">
        <f>H12+60*"0:1:0"</f>
        <v>0.34375</v>
      </c>
      <c r="H13" s="352">
        <v>0.39583333333333331</v>
      </c>
      <c r="I13" s="365">
        <v>0.33611111111111114</v>
      </c>
      <c r="J13" s="365">
        <v>0.33611111111111114</v>
      </c>
      <c r="K13" s="365">
        <v>0.34166666666666667</v>
      </c>
      <c r="L13" s="365">
        <v>0.39027777777777778</v>
      </c>
      <c r="M13" s="365">
        <v>0.39930555555555558</v>
      </c>
      <c r="N13" s="365">
        <f>SUM(M13-J13)</f>
        <v>6.3194444444444442E-2</v>
      </c>
      <c r="O13" s="132" t="s">
        <v>284</v>
      </c>
      <c r="P13" s="104">
        <v>24</v>
      </c>
      <c r="Q13" s="132" t="s">
        <v>48</v>
      </c>
      <c r="R13" s="104" t="s">
        <v>48</v>
      </c>
      <c r="S13" s="204" t="s">
        <v>285</v>
      </c>
      <c r="T13" s="205"/>
      <c r="U13" s="198"/>
      <c r="V13" s="199"/>
      <c r="W13" s="199"/>
      <c r="X13" s="199"/>
      <c r="Y13" s="199"/>
      <c r="Z13" s="199"/>
      <c r="AA13" s="199"/>
      <c r="AB13" s="199"/>
      <c r="AC13" s="199"/>
      <c r="AD13" s="200"/>
    </row>
    <row r="14" spans="1:30" ht="33" customHeight="1" x14ac:dyDescent="0.5">
      <c r="A14" s="201"/>
      <c r="B14" s="491"/>
      <c r="C14" s="202"/>
      <c r="D14" s="202"/>
      <c r="E14" s="203"/>
      <c r="F14" s="203"/>
      <c r="G14" s="351"/>
      <c r="H14" s="351"/>
      <c r="I14" s="360"/>
      <c r="J14" s="360"/>
      <c r="K14" s="360"/>
      <c r="L14" s="360"/>
      <c r="M14" s="360"/>
      <c r="N14" s="287"/>
      <c r="O14" s="132"/>
      <c r="P14" s="287"/>
      <c r="Q14" s="132"/>
      <c r="R14" s="287"/>
      <c r="S14" s="204"/>
      <c r="T14" s="205"/>
      <c r="U14" s="198"/>
      <c r="V14" s="199"/>
      <c r="W14" s="199"/>
      <c r="X14" s="199"/>
      <c r="Y14" s="199"/>
      <c r="Z14" s="199"/>
      <c r="AA14" s="199"/>
      <c r="AB14" s="199"/>
      <c r="AC14" s="199"/>
      <c r="AD14" s="200"/>
    </row>
    <row r="15" spans="1:30" ht="33" customHeight="1" x14ac:dyDescent="0.5">
      <c r="A15" s="201"/>
      <c r="B15" s="491"/>
      <c r="C15" s="202"/>
      <c r="D15" s="202"/>
      <c r="E15" s="203"/>
      <c r="F15" s="203"/>
      <c r="G15" s="351"/>
      <c r="H15" s="351"/>
      <c r="I15" s="360"/>
      <c r="J15" s="360"/>
      <c r="K15" s="360"/>
      <c r="L15" s="360"/>
      <c r="M15" s="360"/>
      <c r="N15" s="287"/>
      <c r="O15" s="132"/>
      <c r="P15" s="287"/>
      <c r="Q15" s="132"/>
      <c r="R15" s="287"/>
      <c r="S15" s="146" t="s">
        <v>71</v>
      </c>
      <c r="T15" s="206" t="s">
        <v>210</v>
      </c>
      <c r="U15" s="198"/>
      <c r="V15" s="199"/>
      <c r="W15" s="199"/>
      <c r="X15" s="199"/>
      <c r="Y15" s="199"/>
      <c r="Z15" s="199"/>
      <c r="AA15" s="199"/>
      <c r="AB15" s="199"/>
      <c r="AC15" s="199"/>
      <c r="AD15" s="200"/>
    </row>
    <row r="16" spans="1:30" ht="33" customHeight="1" x14ac:dyDescent="0.5">
      <c r="A16" s="201"/>
      <c r="B16" s="491"/>
      <c r="C16" s="202"/>
      <c r="D16" s="202"/>
      <c r="E16" s="203"/>
      <c r="F16" s="203"/>
      <c r="G16" s="351"/>
      <c r="H16" s="351"/>
      <c r="I16" s="360"/>
      <c r="J16" s="360"/>
      <c r="K16" s="360"/>
      <c r="L16" s="360"/>
      <c r="M16" s="360"/>
      <c r="N16" s="287"/>
      <c r="O16" s="132"/>
      <c r="P16" s="287"/>
      <c r="Q16" s="132"/>
      <c r="R16" s="287"/>
      <c r="S16" s="146" t="s">
        <v>72</v>
      </c>
      <c r="T16" s="525" t="s">
        <v>310</v>
      </c>
      <c r="U16" s="198"/>
      <c r="V16" s="199"/>
      <c r="W16" s="199"/>
      <c r="X16" s="199"/>
      <c r="Y16" s="199"/>
      <c r="Z16" s="199"/>
      <c r="AA16" s="199"/>
      <c r="AB16" s="199"/>
      <c r="AC16" s="199"/>
      <c r="AD16" s="200"/>
    </row>
    <row r="17" spans="1:30" ht="33" customHeight="1" x14ac:dyDescent="0.5">
      <c r="A17" s="201"/>
      <c r="B17" s="491"/>
      <c r="C17" s="202"/>
      <c r="D17" s="202"/>
      <c r="E17" s="203"/>
      <c r="F17" s="203"/>
      <c r="G17" s="351"/>
      <c r="H17" s="351"/>
      <c r="I17" s="360"/>
      <c r="J17" s="360"/>
      <c r="K17" s="360"/>
      <c r="L17" s="360"/>
      <c r="M17" s="360"/>
      <c r="N17" s="287"/>
      <c r="O17" s="132"/>
      <c r="P17" s="287"/>
      <c r="Q17" s="132"/>
      <c r="R17" s="287"/>
      <c r="S17" s="146"/>
      <c r="T17" s="5"/>
      <c r="U17" s="198"/>
      <c r="V17" s="199"/>
      <c r="W17" s="199"/>
      <c r="X17" s="199"/>
      <c r="Y17" s="199"/>
      <c r="Z17" s="199"/>
      <c r="AA17" s="199"/>
      <c r="AB17" s="199"/>
      <c r="AC17" s="199"/>
      <c r="AD17" s="200"/>
    </row>
    <row r="18" spans="1:30" ht="33" customHeight="1" x14ac:dyDescent="0.5">
      <c r="A18" s="201"/>
      <c r="B18" s="491"/>
      <c r="C18" s="202"/>
      <c r="D18" s="202"/>
      <c r="E18" s="203"/>
      <c r="F18" s="203"/>
      <c r="G18" s="351"/>
      <c r="H18" s="351"/>
      <c r="I18" s="360"/>
      <c r="J18" s="360"/>
      <c r="K18" s="360"/>
      <c r="L18" s="360"/>
      <c r="M18" s="360"/>
      <c r="N18" s="287"/>
      <c r="O18" s="132"/>
      <c r="P18" s="287"/>
      <c r="Q18" s="132"/>
      <c r="R18" s="287"/>
      <c r="S18" s="146" t="s">
        <v>73</v>
      </c>
      <c r="T18" s="5"/>
      <c r="U18" s="198"/>
      <c r="V18" s="199"/>
      <c r="W18" s="199"/>
      <c r="X18" s="199"/>
      <c r="Y18" s="199"/>
      <c r="Z18" s="199"/>
      <c r="AA18" s="199"/>
      <c r="AB18" s="199"/>
      <c r="AC18" s="199"/>
      <c r="AD18" s="200"/>
    </row>
    <row r="19" spans="1:30" ht="33" customHeight="1" x14ac:dyDescent="0.5">
      <c r="A19" s="201"/>
      <c r="B19" s="491"/>
      <c r="C19" s="202"/>
      <c r="D19" s="202"/>
      <c r="E19" s="203"/>
      <c r="F19" s="203"/>
      <c r="G19" s="351"/>
      <c r="H19" s="351"/>
      <c r="I19" s="360"/>
      <c r="J19" s="360"/>
      <c r="K19" s="360"/>
      <c r="L19" s="360"/>
      <c r="M19" s="360"/>
      <c r="N19" s="287"/>
      <c r="O19" s="132"/>
      <c r="P19" s="287"/>
      <c r="Q19" s="132"/>
      <c r="R19" s="287"/>
      <c r="S19" s="207" t="s">
        <v>74</v>
      </c>
      <c r="T19" s="5"/>
      <c r="U19" s="198"/>
      <c r="V19" s="199"/>
      <c r="W19" s="199"/>
      <c r="X19" s="199"/>
      <c r="Y19" s="199"/>
      <c r="Z19" s="199"/>
      <c r="AA19" s="199"/>
      <c r="AB19" s="199"/>
      <c r="AC19" s="199"/>
      <c r="AD19" s="200"/>
    </row>
    <row r="20" spans="1:30" ht="33" customHeight="1" x14ac:dyDescent="0.5">
      <c r="A20" s="201"/>
      <c r="B20" s="491"/>
      <c r="C20" s="202"/>
      <c r="D20" s="202"/>
      <c r="E20" s="203"/>
      <c r="F20" s="203"/>
      <c r="G20" s="351"/>
      <c r="H20" s="351"/>
      <c r="I20" s="360"/>
      <c r="J20" s="360"/>
      <c r="K20" s="360"/>
      <c r="L20" s="360"/>
      <c r="M20" s="360"/>
      <c r="N20" s="287"/>
      <c r="O20" s="132"/>
      <c r="P20" s="287"/>
      <c r="Q20" s="132"/>
      <c r="R20" s="287"/>
      <c r="S20" s="207" t="s">
        <v>75</v>
      </c>
      <c r="T20" s="5"/>
      <c r="U20" s="198"/>
      <c r="V20" s="199"/>
      <c r="W20" s="199"/>
      <c r="X20" s="199"/>
      <c r="Y20" s="199"/>
      <c r="Z20" s="199"/>
      <c r="AA20" s="199"/>
      <c r="AB20" s="199"/>
      <c r="AC20" s="199"/>
      <c r="AD20" s="200"/>
    </row>
    <row r="21" spans="1:30" ht="33" customHeight="1" x14ac:dyDescent="0.5">
      <c r="A21" s="201"/>
      <c r="B21" s="491"/>
      <c r="C21" s="202"/>
      <c r="D21" s="202"/>
      <c r="E21" s="203"/>
      <c r="F21" s="203"/>
      <c r="G21" s="351"/>
      <c r="H21" s="351"/>
      <c r="I21" s="360"/>
      <c r="J21" s="360"/>
      <c r="K21" s="360"/>
      <c r="L21" s="360"/>
      <c r="M21" s="360"/>
      <c r="N21" s="287"/>
      <c r="O21" s="132"/>
      <c r="P21" s="287"/>
      <c r="Q21" s="132"/>
      <c r="R21" s="287"/>
      <c r="S21" s="208" t="s">
        <v>76</v>
      </c>
      <c r="T21" s="5"/>
      <c r="U21" s="198"/>
      <c r="V21" s="199"/>
      <c r="W21" s="199"/>
      <c r="X21" s="199"/>
      <c r="Y21" s="199"/>
      <c r="Z21" s="199"/>
      <c r="AA21" s="199"/>
      <c r="AB21" s="199"/>
      <c r="AC21" s="199"/>
      <c r="AD21" s="200"/>
    </row>
    <row r="22" spans="1:30" ht="33" customHeight="1" x14ac:dyDescent="0.5">
      <c r="A22" s="201"/>
      <c r="B22" s="491"/>
      <c r="C22" s="202"/>
      <c r="D22" s="202"/>
      <c r="E22" s="203"/>
      <c r="F22" s="203"/>
      <c r="G22" s="351"/>
      <c r="H22" s="351"/>
      <c r="I22" s="360"/>
      <c r="J22" s="360"/>
      <c r="K22" s="360"/>
      <c r="L22" s="360"/>
      <c r="M22" s="360"/>
      <c r="N22" s="287"/>
      <c r="O22" s="132"/>
      <c r="P22" s="287"/>
      <c r="Q22" s="132"/>
      <c r="R22" s="287"/>
      <c r="S22" s="209" t="s">
        <v>77</v>
      </c>
      <c r="T22" s="5"/>
      <c r="U22" s="198"/>
      <c r="V22" s="199"/>
      <c r="W22" s="199"/>
      <c r="X22" s="199"/>
      <c r="Y22" s="199"/>
      <c r="Z22" s="199"/>
      <c r="AA22" s="199"/>
      <c r="AB22" s="199"/>
      <c r="AC22" s="199"/>
      <c r="AD22" s="200"/>
    </row>
    <row r="23" spans="1:30" ht="33" customHeight="1" x14ac:dyDescent="0.5">
      <c r="A23" s="201"/>
      <c r="B23" s="491"/>
      <c r="C23" s="202"/>
      <c r="D23" s="202"/>
      <c r="E23" s="203"/>
      <c r="F23" s="203"/>
      <c r="G23" s="351"/>
      <c r="H23" s="351"/>
      <c r="I23" s="360"/>
      <c r="J23" s="360"/>
      <c r="K23" s="360"/>
      <c r="L23" s="360"/>
      <c r="M23" s="360"/>
      <c r="N23" s="287"/>
      <c r="O23" s="132"/>
      <c r="P23" s="287"/>
      <c r="Q23" s="132"/>
      <c r="R23" s="287"/>
      <c r="S23" s="209" t="s">
        <v>78</v>
      </c>
      <c r="T23" s="5"/>
      <c r="U23" s="198"/>
      <c r="V23" s="199"/>
      <c r="W23" s="199"/>
      <c r="X23" s="199"/>
      <c r="Y23" s="199"/>
      <c r="Z23" s="199"/>
      <c r="AA23" s="199"/>
      <c r="AB23" s="199"/>
      <c r="AC23" s="199"/>
      <c r="AD23" s="200"/>
    </row>
    <row r="24" spans="1:30" ht="33" customHeight="1" x14ac:dyDescent="0.5">
      <c r="A24" s="201"/>
      <c r="B24" s="491"/>
      <c r="C24" s="202"/>
      <c r="D24" s="202"/>
      <c r="E24" s="203"/>
      <c r="F24" s="203"/>
      <c r="G24" s="351"/>
      <c r="H24" s="351"/>
      <c r="I24" s="360"/>
      <c r="J24" s="360"/>
      <c r="K24" s="360"/>
      <c r="L24" s="360"/>
      <c r="M24" s="360"/>
      <c r="N24" s="287"/>
      <c r="O24" s="132"/>
      <c r="P24" s="287"/>
      <c r="Q24" s="132"/>
      <c r="R24" s="287"/>
      <c r="S24" s="208" t="s">
        <v>168</v>
      </c>
      <c r="T24" s="5"/>
      <c r="U24" s="198"/>
      <c r="V24" s="199"/>
      <c r="W24" s="199"/>
      <c r="X24" s="199"/>
      <c r="Y24" s="199"/>
      <c r="Z24" s="199"/>
      <c r="AA24" s="199"/>
      <c r="AB24" s="199"/>
      <c r="AC24" s="199"/>
      <c r="AD24" s="200"/>
    </row>
    <row r="25" spans="1:30" ht="33" customHeight="1" x14ac:dyDescent="0.5">
      <c r="A25" s="201"/>
      <c r="B25" s="491"/>
      <c r="C25" s="202"/>
      <c r="D25" s="202"/>
      <c r="E25" s="203"/>
      <c r="F25" s="203"/>
      <c r="G25" s="351"/>
      <c r="H25" s="351"/>
      <c r="I25" s="360"/>
      <c r="J25" s="360"/>
      <c r="K25" s="360"/>
      <c r="L25" s="360"/>
      <c r="M25" s="360"/>
      <c r="N25" s="287"/>
      <c r="O25" s="132"/>
      <c r="P25" s="287"/>
      <c r="Q25" s="132"/>
      <c r="R25" s="287"/>
      <c r="S25" s="210" t="s">
        <v>169</v>
      </c>
      <c r="T25" s="5"/>
      <c r="U25" s="198"/>
      <c r="V25" s="199"/>
      <c r="W25" s="199"/>
      <c r="X25" s="199"/>
      <c r="Y25" s="199"/>
      <c r="Z25" s="199"/>
      <c r="AA25" s="199"/>
      <c r="AB25" s="199"/>
      <c r="AC25" s="199"/>
      <c r="AD25" s="200"/>
    </row>
    <row r="26" spans="1:30" ht="33" customHeight="1" x14ac:dyDescent="0.5">
      <c r="A26" s="201"/>
      <c r="B26" s="491"/>
      <c r="C26" s="202"/>
      <c r="D26" s="202"/>
      <c r="E26" s="203"/>
      <c r="F26" s="203"/>
      <c r="G26" s="351"/>
      <c r="H26" s="351"/>
      <c r="I26" s="360"/>
      <c r="J26" s="360"/>
      <c r="K26" s="360"/>
      <c r="L26" s="360"/>
      <c r="M26" s="360"/>
      <c r="N26" s="287"/>
      <c r="O26" s="132"/>
      <c r="P26" s="287"/>
      <c r="Q26" s="132"/>
      <c r="R26" s="287"/>
      <c r="S26" s="210" t="s">
        <v>170</v>
      </c>
      <c r="T26" s="5"/>
      <c r="U26" s="198"/>
      <c r="V26" s="199"/>
      <c r="W26" s="199"/>
      <c r="X26" s="199"/>
      <c r="Y26" s="199"/>
      <c r="Z26" s="199"/>
      <c r="AA26" s="199"/>
      <c r="AB26" s="199"/>
      <c r="AC26" s="199"/>
      <c r="AD26" s="200"/>
    </row>
    <row r="27" spans="1:30" ht="33" customHeight="1" x14ac:dyDescent="0.5">
      <c r="A27" s="201"/>
      <c r="B27" s="491"/>
      <c r="C27" s="202"/>
      <c r="D27" s="202"/>
      <c r="E27" s="203"/>
      <c r="F27" s="203"/>
      <c r="G27" s="351"/>
      <c r="H27" s="351"/>
      <c r="I27" s="360"/>
      <c r="J27" s="360"/>
      <c r="K27" s="360"/>
      <c r="L27" s="360"/>
      <c r="M27" s="360"/>
      <c r="N27" s="287"/>
      <c r="O27" s="132"/>
      <c r="P27" s="287"/>
      <c r="Q27" s="132"/>
      <c r="R27" s="287"/>
      <c r="S27" s="210" t="s">
        <v>171</v>
      </c>
      <c r="T27" s="5"/>
      <c r="U27" s="198"/>
      <c r="V27" s="199"/>
      <c r="W27" s="199"/>
      <c r="X27" s="199"/>
      <c r="Y27" s="199"/>
      <c r="Z27" s="199"/>
      <c r="AA27" s="199"/>
      <c r="AB27" s="199"/>
      <c r="AC27" s="199"/>
      <c r="AD27" s="200"/>
    </row>
    <row r="28" spans="1:30" ht="33" customHeight="1" x14ac:dyDescent="0.5">
      <c r="A28" s="201"/>
      <c r="B28" s="491"/>
      <c r="C28" s="202"/>
      <c r="D28" s="202"/>
      <c r="E28" s="203"/>
      <c r="F28" s="203"/>
      <c r="G28" s="351"/>
      <c r="H28" s="351"/>
      <c r="I28" s="360"/>
      <c r="J28" s="360"/>
      <c r="K28" s="360"/>
      <c r="L28" s="360"/>
      <c r="M28" s="360"/>
      <c r="N28" s="287"/>
      <c r="O28" s="132"/>
      <c r="P28" s="287"/>
      <c r="Q28" s="132"/>
      <c r="R28" s="287"/>
      <c r="S28" s="211" t="s">
        <v>175</v>
      </c>
      <c r="T28" s="5"/>
      <c r="U28" s="198"/>
      <c r="V28" s="199"/>
      <c r="W28" s="199"/>
      <c r="X28" s="199"/>
      <c r="Y28" s="199"/>
      <c r="Z28" s="199"/>
      <c r="AA28" s="199"/>
      <c r="AB28" s="199"/>
      <c r="AC28" s="199"/>
      <c r="AD28" s="200"/>
    </row>
    <row r="29" spans="1:30" ht="33" customHeight="1" x14ac:dyDescent="0.5">
      <c r="A29" s="201"/>
      <c r="B29" s="491"/>
      <c r="C29" s="202"/>
      <c r="D29" s="202"/>
      <c r="E29" s="203"/>
      <c r="F29" s="203"/>
      <c r="G29" s="351"/>
      <c r="H29" s="351"/>
      <c r="I29" s="360"/>
      <c r="J29" s="360"/>
      <c r="K29" s="360"/>
      <c r="L29" s="360"/>
      <c r="M29" s="360"/>
      <c r="N29" s="287"/>
      <c r="O29" s="132"/>
      <c r="P29" s="287"/>
      <c r="Q29" s="132"/>
      <c r="R29" s="287"/>
      <c r="S29" s="208" t="s">
        <v>176</v>
      </c>
      <c r="T29" s="5"/>
      <c r="U29" s="198"/>
      <c r="V29" s="199"/>
      <c r="W29" s="199"/>
      <c r="X29" s="199"/>
      <c r="Y29" s="199"/>
      <c r="Z29" s="199"/>
      <c r="AA29" s="199"/>
      <c r="AB29" s="199"/>
      <c r="AC29" s="199"/>
      <c r="AD29" s="200"/>
    </row>
    <row r="30" spans="1:30" ht="33" customHeight="1" x14ac:dyDescent="0.5">
      <c r="A30" s="201"/>
      <c r="B30" s="491"/>
      <c r="C30" s="202"/>
      <c r="D30" s="202"/>
      <c r="E30" s="203"/>
      <c r="F30" s="203"/>
      <c r="G30" s="351"/>
      <c r="H30" s="351"/>
      <c r="I30" s="360"/>
      <c r="J30" s="360"/>
      <c r="K30" s="360"/>
      <c r="L30" s="360"/>
      <c r="M30" s="360"/>
      <c r="N30" s="287"/>
      <c r="O30" s="132"/>
      <c r="P30" s="287"/>
      <c r="Q30" s="132"/>
      <c r="R30" s="287"/>
      <c r="S30" s="146"/>
      <c r="T30" s="5"/>
      <c r="U30" s="198"/>
      <c r="V30" s="199"/>
      <c r="W30" s="199"/>
      <c r="X30" s="199"/>
      <c r="Y30" s="199"/>
      <c r="Z30" s="199"/>
      <c r="AA30" s="199"/>
      <c r="AB30" s="199"/>
      <c r="AC30" s="199"/>
      <c r="AD30" s="200"/>
    </row>
    <row r="31" spans="1:30" ht="33" customHeight="1" x14ac:dyDescent="0.5">
      <c r="A31" s="201"/>
      <c r="B31" s="491"/>
      <c r="C31" s="202"/>
      <c r="D31" s="202"/>
      <c r="E31" s="203"/>
      <c r="F31" s="203"/>
      <c r="G31" s="351"/>
      <c r="H31" s="351"/>
      <c r="I31" s="360"/>
      <c r="J31" s="360"/>
      <c r="K31" s="360"/>
      <c r="L31" s="360"/>
      <c r="M31" s="360"/>
      <c r="N31" s="287"/>
      <c r="O31" s="132"/>
      <c r="P31" s="287"/>
      <c r="Q31" s="132"/>
      <c r="R31" s="287"/>
      <c r="S31" s="212" t="s">
        <v>191</v>
      </c>
      <c r="T31" s="213" t="s">
        <v>190</v>
      </c>
      <c r="U31" s="198"/>
      <c r="V31" s="199"/>
      <c r="W31" s="199"/>
      <c r="X31" s="199"/>
      <c r="Y31" s="199"/>
      <c r="Z31" s="199"/>
      <c r="AA31" s="199"/>
      <c r="AB31" s="199"/>
      <c r="AC31" s="199"/>
      <c r="AD31" s="200"/>
    </row>
    <row r="32" spans="1:30" ht="33" customHeight="1" x14ac:dyDescent="0.5">
      <c r="A32" s="201"/>
      <c r="B32" s="491"/>
      <c r="C32" s="202"/>
      <c r="D32" s="202"/>
      <c r="E32" s="203"/>
      <c r="F32" s="214"/>
      <c r="G32" s="132"/>
      <c r="H32" s="132"/>
      <c r="I32" s="287"/>
      <c r="J32" s="287"/>
      <c r="K32" s="287"/>
      <c r="L32" s="287"/>
      <c r="M32" s="287"/>
      <c r="N32" s="287"/>
      <c r="O32" s="132"/>
      <c r="P32" s="287"/>
      <c r="Q32" s="132"/>
      <c r="R32" s="287"/>
      <c r="S32" s="184"/>
      <c r="T32" s="148"/>
      <c r="U32" s="198"/>
      <c r="V32" s="199"/>
      <c r="W32" s="199"/>
      <c r="X32" s="199"/>
      <c r="Y32" s="199"/>
      <c r="Z32" s="199"/>
      <c r="AA32" s="199"/>
      <c r="AB32" s="199"/>
      <c r="AC32" s="199"/>
      <c r="AD32" s="200"/>
    </row>
    <row r="33" spans="1:30" ht="33" customHeight="1" x14ac:dyDescent="0.5">
      <c r="A33" s="201"/>
      <c r="B33" s="491"/>
      <c r="C33" s="202"/>
      <c r="D33" s="202"/>
      <c r="E33" s="215"/>
      <c r="F33" s="215"/>
      <c r="G33" s="58"/>
      <c r="H33" s="58"/>
      <c r="I33" s="361"/>
      <c r="J33" s="361"/>
      <c r="K33" s="361"/>
      <c r="L33" s="361"/>
      <c r="M33" s="369"/>
      <c r="N33" s="361"/>
      <c r="O33" s="14"/>
      <c r="P33" s="286"/>
      <c r="Q33" s="14"/>
      <c r="R33" s="286"/>
      <c r="S33" s="216" t="s">
        <v>0</v>
      </c>
      <c r="T33" s="217">
        <f xml:space="preserve"> SUM(H11:H34)-SUM($G11:$G34)</f>
        <v>0.10416666666666663</v>
      </c>
      <c r="U33" s="218"/>
      <c r="V33" s="199"/>
      <c r="W33" s="199"/>
      <c r="X33" s="199"/>
      <c r="Y33" s="199"/>
      <c r="Z33" s="199"/>
      <c r="AA33" s="199"/>
      <c r="AB33" s="199"/>
      <c r="AC33" s="199"/>
      <c r="AD33" s="200"/>
    </row>
    <row r="34" spans="1:30" ht="33" customHeight="1" thickBot="1" x14ac:dyDescent="0.55000000000000004">
      <c r="A34" s="219"/>
      <c r="B34" s="492"/>
      <c r="C34" s="220"/>
      <c r="D34" s="220"/>
      <c r="E34" s="221"/>
      <c r="F34" s="221"/>
      <c r="G34" s="63"/>
      <c r="H34" s="63"/>
      <c r="I34" s="362"/>
      <c r="J34" s="362"/>
      <c r="K34" s="362"/>
      <c r="L34" s="362"/>
      <c r="M34" s="362"/>
      <c r="N34" s="362"/>
      <c r="O34" s="64"/>
      <c r="P34" s="289"/>
      <c r="Q34" s="64"/>
      <c r="R34" s="289"/>
      <c r="S34" s="222" t="s">
        <v>4</v>
      </c>
      <c r="T34" s="223">
        <f xml:space="preserve"> SUM(M11:M34)-SUM($J11:$J34)</f>
        <v>0.12708333333333333</v>
      </c>
      <c r="U34" s="218"/>
      <c r="V34" s="199"/>
      <c r="W34" s="199"/>
      <c r="X34" s="199"/>
      <c r="Y34" s="199"/>
      <c r="Z34" s="199"/>
      <c r="AA34" s="199"/>
      <c r="AB34" s="199"/>
      <c r="AC34" s="199"/>
      <c r="AD34" s="200"/>
    </row>
    <row r="35" spans="1:30" s="229" customFormat="1" ht="33" customHeight="1" x14ac:dyDescent="0.5">
      <c r="A35" s="224" t="s">
        <v>70</v>
      </c>
      <c r="B35" s="493" t="s">
        <v>1</v>
      </c>
      <c r="C35" s="225"/>
      <c r="D35" s="225"/>
      <c r="E35" s="226"/>
      <c r="F35" s="226"/>
      <c r="G35" s="113"/>
      <c r="H35" s="113"/>
      <c r="I35" s="359"/>
      <c r="J35" s="359"/>
      <c r="K35" s="359"/>
      <c r="L35" s="359"/>
      <c r="M35" s="359"/>
      <c r="N35" s="381"/>
      <c r="O35" s="114"/>
      <c r="P35" s="381"/>
      <c r="Q35" s="114"/>
      <c r="R35" s="381"/>
      <c r="S35" s="227"/>
      <c r="T35" s="228"/>
      <c r="U35" s="198"/>
      <c r="AD35" s="230"/>
    </row>
    <row r="36" spans="1:30" s="229" customFormat="1" ht="33" customHeight="1" x14ac:dyDescent="0.5">
      <c r="A36" s="231" t="s">
        <v>186</v>
      </c>
      <c r="B36" s="494"/>
      <c r="C36" s="232" t="s">
        <v>127</v>
      </c>
      <c r="D36" s="233" t="s">
        <v>43</v>
      </c>
      <c r="E36" s="47" t="s">
        <v>35</v>
      </c>
      <c r="F36" s="47" t="s">
        <v>36</v>
      </c>
      <c r="G36" s="110">
        <v>0.33333333333333331</v>
      </c>
      <c r="H36" s="110">
        <v>0.39583333333333331</v>
      </c>
      <c r="I36" s="366">
        <v>0.33263888888888887</v>
      </c>
      <c r="J36" s="366">
        <v>0.33680555555555558</v>
      </c>
      <c r="K36" s="366">
        <v>0.34097222222222223</v>
      </c>
      <c r="L36" s="366">
        <v>0.40069444444444446</v>
      </c>
      <c r="M36" s="366">
        <v>0.40416666666666667</v>
      </c>
      <c r="N36" s="365">
        <f t="shared" ref="N36:N37" si="0">SUM(M36-J36)</f>
        <v>6.7361111111111094E-2</v>
      </c>
      <c r="O36" s="45" t="s">
        <v>48</v>
      </c>
      <c r="P36" s="106" t="s">
        <v>48</v>
      </c>
      <c r="Q36" s="45">
        <v>4500</v>
      </c>
      <c r="R36" s="106">
        <v>4436</v>
      </c>
      <c r="S36" s="235" t="s">
        <v>269</v>
      </c>
      <c r="T36" s="236"/>
      <c r="U36" s="198"/>
      <c r="AD36" s="230"/>
    </row>
    <row r="37" spans="1:30" s="229" customFormat="1" ht="33" customHeight="1" x14ac:dyDescent="0.5">
      <c r="A37" s="231" t="s">
        <v>185</v>
      </c>
      <c r="B37" s="494"/>
      <c r="C37" s="232"/>
      <c r="D37" s="233"/>
      <c r="E37" s="47" t="s">
        <v>36</v>
      </c>
      <c r="F37" s="47" t="s">
        <v>35</v>
      </c>
      <c r="G37" s="110">
        <v>0.42708333333333331</v>
      </c>
      <c r="H37" s="110">
        <f>G37+90*"0:1:0"</f>
        <v>0.48958333333333331</v>
      </c>
      <c r="I37" s="366">
        <v>0.43194444444444446</v>
      </c>
      <c r="J37" s="366">
        <v>0.43541666666666667</v>
      </c>
      <c r="K37" s="366">
        <v>0.43680555555555556</v>
      </c>
      <c r="L37" s="366">
        <v>0.49444444444444446</v>
      </c>
      <c r="M37" s="366">
        <v>0.49722222222222223</v>
      </c>
      <c r="N37" s="365">
        <f t="shared" si="0"/>
        <v>6.1805555555555558E-2</v>
      </c>
      <c r="O37" s="45" t="s">
        <v>48</v>
      </c>
      <c r="P37" s="106" t="s">
        <v>48</v>
      </c>
      <c r="Q37" s="45">
        <v>200</v>
      </c>
      <c r="R37" s="106">
        <v>4</v>
      </c>
      <c r="S37" s="235" t="s">
        <v>253</v>
      </c>
      <c r="T37" s="236"/>
      <c r="U37" s="198"/>
      <c r="AD37" s="230"/>
    </row>
    <row r="38" spans="1:30" s="229" customFormat="1" ht="33" customHeight="1" x14ac:dyDescent="0.5">
      <c r="A38" s="231"/>
      <c r="B38" s="494"/>
      <c r="C38" s="232"/>
      <c r="D38" s="233"/>
      <c r="E38" s="234"/>
      <c r="F38" s="234"/>
      <c r="G38" s="110"/>
      <c r="H38" s="110"/>
      <c r="I38" s="361"/>
      <c r="J38" s="361"/>
      <c r="K38" s="361"/>
      <c r="L38" s="361"/>
      <c r="M38" s="361"/>
      <c r="N38" s="361"/>
      <c r="O38" s="45"/>
      <c r="P38" s="286"/>
      <c r="Q38" s="45"/>
      <c r="R38" s="286"/>
      <c r="S38" s="235"/>
      <c r="T38" s="236"/>
      <c r="U38" s="198"/>
      <c r="AD38" s="230"/>
    </row>
    <row r="39" spans="1:30" s="229" customFormat="1" ht="33" customHeight="1" x14ac:dyDescent="0.5">
      <c r="A39" s="231"/>
      <c r="B39" s="494"/>
      <c r="C39" s="232"/>
      <c r="D39" s="233"/>
      <c r="E39" s="234"/>
      <c r="F39" s="234"/>
      <c r="G39" s="110"/>
      <c r="H39" s="110"/>
      <c r="I39" s="361"/>
      <c r="J39" s="361"/>
      <c r="K39" s="361"/>
      <c r="L39" s="361"/>
      <c r="M39" s="361"/>
      <c r="N39" s="361"/>
      <c r="O39" s="45"/>
      <c r="P39" s="286"/>
      <c r="Q39" s="45"/>
      <c r="R39" s="286"/>
      <c r="S39" s="146" t="s">
        <v>73</v>
      </c>
      <c r="T39" s="237"/>
      <c r="U39" s="198"/>
      <c r="AD39" s="230"/>
    </row>
    <row r="40" spans="1:30" s="229" customFormat="1" ht="33" customHeight="1" x14ac:dyDescent="0.5">
      <c r="A40" s="231"/>
      <c r="B40" s="494"/>
      <c r="C40" s="232"/>
      <c r="D40" s="233"/>
      <c r="E40" s="234"/>
      <c r="F40" s="234"/>
      <c r="G40" s="110"/>
      <c r="H40" s="110"/>
      <c r="I40" s="361"/>
      <c r="J40" s="361"/>
      <c r="K40" s="361"/>
      <c r="L40" s="361"/>
      <c r="M40" s="361"/>
      <c r="N40" s="361"/>
      <c r="O40" s="45"/>
      <c r="P40" s="286"/>
      <c r="Q40" s="45"/>
      <c r="R40" s="286"/>
      <c r="S40" s="207" t="s">
        <v>74</v>
      </c>
      <c r="T40" s="238"/>
      <c r="U40" s="198"/>
      <c r="AD40" s="230"/>
    </row>
    <row r="41" spans="1:30" s="229" customFormat="1" ht="33" customHeight="1" x14ac:dyDescent="0.5">
      <c r="A41" s="231"/>
      <c r="B41" s="494"/>
      <c r="C41" s="232"/>
      <c r="D41" s="233"/>
      <c r="E41" s="234"/>
      <c r="F41" s="234"/>
      <c r="G41" s="110"/>
      <c r="H41" s="110"/>
      <c r="I41" s="361"/>
      <c r="J41" s="361"/>
      <c r="K41" s="361"/>
      <c r="L41" s="361"/>
      <c r="M41" s="361"/>
      <c r="N41" s="361"/>
      <c r="O41" s="45"/>
      <c r="P41" s="286"/>
      <c r="Q41" s="45"/>
      <c r="R41" s="286"/>
      <c r="S41" s="207" t="s">
        <v>75</v>
      </c>
      <c r="T41" s="238"/>
      <c r="U41" s="198"/>
      <c r="AD41" s="230"/>
    </row>
    <row r="42" spans="1:30" s="229" customFormat="1" ht="33" customHeight="1" x14ac:dyDescent="0.5">
      <c r="A42" s="231"/>
      <c r="B42" s="494"/>
      <c r="C42" s="232"/>
      <c r="D42" s="233"/>
      <c r="E42" s="234"/>
      <c r="F42" s="234"/>
      <c r="G42" s="110"/>
      <c r="H42" s="110"/>
      <c r="I42" s="361"/>
      <c r="J42" s="361"/>
      <c r="K42" s="361"/>
      <c r="L42" s="361"/>
      <c r="M42" s="361"/>
      <c r="N42" s="361"/>
      <c r="O42" s="45"/>
      <c r="P42" s="286"/>
      <c r="Q42" s="45"/>
      <c r="R42" s="286"/>
      <c r="S42" s="208" t="s">
        <v>76</v>
      </c>
      <c r="T42" s="238"/>
      <c r="U42" s="198"/>
      <c r="AD42" s="230"/>
    </row>
    <row r="43" spans="1:30" s="229" customFormat="1" ht="33" customHeight="1" x14ac:dyDescent="0.5">
      <c r="A43" s="231"/>
      <c r="B43" s="494"/>
      <c r="C43" s="232"/>
      <c r="D43" s="233"/>
      <c r="E43" s="234"/>
      <c r="F43" s="234"/>
      <c r="G43" s="110"/>
      <c r="H43" s="110"/>
      <c r="I43" s="361"/>
      <c r="J43" s="361"/>
      <c r="K43" s="361"/>
      <c r="L43" s="361"/>
      <c r="M43" s="361"/>
      <c r="N43" s="361"/>
      <c r="O43" s="45"/>
      <c r="P43" s="286"/>
      <c r="Q43" s="45"/>
      <c r="R43" s="286"/>
      <c r="S43" s="209" t="s">
        <v>77</v>
      </c>
      <c r="T43" s="238"/>
      <c r="U43" s="198"/>
      <c r="AD43" s="230"/>
    </row>
    <row r="44" spans="1:30" s="229" customFormat="1" ht="33" customHeight="1" x14ac:dyDescent="0.5">
      <c r="A44" s="231"/>
      <c r="B44" s="494"/>
      <c r="C44" s="232"/>
      <c r="D44" s="233"/>
      <c r="E44" s="234"/>
      <c r="F44" s="234"/>
      <c r="G44" s="110"/>
      <c r="H44" s="110"/>
      <c r="I44" s="361"/>
      <c r="J44" s="361"/>
      <c r="K44" s="361"/>
      <c r="L44" s="361"/>
      <c r="M44" s="361"/>
      <c r="N44" s="361"/>
      <c r="O44" s="45"/>
      <c r="P44" s="286"/>
      <c r="Q44" s="45"/>
      <c r="R44" s="286"/>
      <c r="S44" s="209" t="s">
        <v>78</v>
      </c>
      <c r="T44" s="238"/>
      <c r="U44" s="198"/>
      <c r="AD44" s="230"/>
    </row>
    <row r="45" spans="1:30" s="229" customFormat="1" ht="33" customHeight="1" x14ac:dyDescent="0.5">
      <c r="A45" s="231"/>
      <c r="B45" s="494"/>
      <c r="C45" s="232"/>
      <c r="D45" s="233"/>
      <c r="E45" s="234"/>
      <c r="F45" s="234"/>
      <c r="G45" s="110"/>
      <c r="H45" s="110"/>
      <c r="I45" s="361"/>
      <c r="J45" s="361"/>
      <c r="K45" s="361"/>
      <c r="L45" s="361"/>
      <c r="M45" s="361"/>
      <c r="N45" s="361"/>
      <c r="O45" s="45"/>
      <c r="P45" s="286"/>
      <c r="Q45" s="45"/>
      <c r="R45" s="286"/>
      <c r="S45" s="208" t="s">
        <v>168</v>
      </c>
      <c r="T45" s="239"/>
      <c r="U45" s="198"/>
      <c r="AD45" s="230"/>
    </row>
    <row r="46" spans="1:30" s="229" customFormat="1" ht="33" customHeight="1" x14ac:dyDescent="0.5">
      <c r="A46" s="231"/>
      <c r="B46" s="494"/>
      <c r="C46" s="232"/>
      <c r="D46" s="233"/>
      <c r="E46" s="234"/>
      <c r="F46" s="234"/>
      <c r="G46" s="110"/>
      <c r="H46" s="110"/>
      <c r="I46" s="361"/>
      <c r="J46" s="361"/>
      <c r="K46" s="361"/>
      <c r="L46" s="361"/>
      <c r="M46" s="361"/>
      <c r="N46" s="361"/>
      <c r="O46" s="45"/>
      <c r="P46" s="286"/>
      <c r="Q46" s="45"/>
      <c r="R46" s="286"/>
      <c r="S46" s="210" t="s">
        <v>169</v>
      </c>
      <c r="T46" s="239"/>
      <c r="U46" s="198"/>
      <c r="AD46" s="230"/>
    </row>
    <row r="47" spans="1:30" s="229" customFormat="1" ht="33" customHeight="1" x14ac:dyDescent="0.5">
      <c r="A47" s="231"/>
      <c r="B47" s="494"/>
      <c r="C47" s="232"/>
      <c r="D47" s="233"/>
      <c r="E47" s="234"/>
      <c r="F47" s="234"/>
      <c r="G47" s="110"/>
      <c r="H47" s="110"/>
      <c r="I47" s="361"/>
      <c r="J47" s="361"/>
      <c r="K47" s="361"/>
      <c r="L47" s="361"/>
      <c r="M47" s="361"/>
      <c r="N47" s="361"/>
      <c r="O47" s="45"/>
      <c r="P47" s="286"/>
      <c r="Q47" s="45"/>
      <c r="R47" s="286"/>
      <c r="S47" s="210" t="s">
        <v>170</v>
      </c>
      <c r="T47" s="239"/>
      <c r="U47" s="198"/>
      <c r="AD47" s="230"/>
    </row>
    <row r="48" spans="1:30" s="229" customFormat="1" ht="33" customHeight="1" x14ac:dyDescent="0.5">
      <c r="A48" s="231"/>
      <c r="B48" s="494"/>
      <c r="C48" s="232"/>
      <c r="D48" s="233"/>
      <c r="E48" s="234"/>
      <c r="F48" s="234"/>
      <c r="G48" s="110"/>
      <c r="H48" s="110"/>
      <c r="I48" s="361"/>
      <c r="J48" s="361"/>
      <c r="K48" s="361"/>
      <c r="L48" s="361"/>
      <c r="M48" s="361"/>
      <c r="N48" s="361"/>
      <c r="O48" s="45"/>
      <c r="P48" s="286"/>
      <c r="Q48" s="45"/>
      <c r="R48" s="286"/>
      <c r="S48" s="210" t="s">
        <v>171</v>
      </c>
      <c r="T48" s="239"/>
      <c r="U48" s="198"/>
      <c r="AD48" s="230"/>
    </row>
    <row r="49" spans="1:30" s="229" customFormat="1" ht="33" customHeight="1" x14ac:dyDescent="0.5">
      <c r="A49" s="231"/>
      <c r="B49" s="494"/>
      <c r="C49" s="232"/>
      <c r="D49" s="233"/>
      <c r="E49" s="234"/>
      <c r="F49" s="234"/>
      <c r="G49" s="110"/>
      <c r="H49" s="110"/>
      <c r="I49" s="361"/>
      <c r="J49" s="361"/>
      <c r="K49" s="361"/>
      <c r="L49" s="361"/>
      <c r="M49" s="361"/>
      <c r="N49" s="361"/>
      <c r="O49" s="45"/>
      <c r="P49" s="286"/>
      <c r="Q49" s="45"/>
      <c r="R49" s="286"/>
      <c r="S49" s="211" t="s">
        <v>175</v>
      </c>
      <c r="T49" s="240"/>
      <c r="U49" s="198"/>
      <c r="AD49" s="230"/>
    </row>
    <row r="50" spans="1:30" s="229" customFormat="1" ht="33" customHeight="1" x14ac:dyDescent="0.5">
      <c r="A50" s="231"/>
      <c r="B50" s="494"/>
      <c r="C50" s="232"/>
      <c r="D50" s="233"/>
      <c r="E50" s="234"/>
      <c r="F50" s="234"/>
      <c r="G50" s="110"/>
      <c r="H50" s="110"/>
      <c r="I50" s="361"/>
      <c r="J50" s="361"/>
      <c r="K50" s="361"/>
      <c r="L50" s="361"/>
      <c r="M50" s="361"/>
      <c r="N50" s="361"/>
      <c r="O50" s="45"/>
      <c r="P50" s="286"/>
      <c r="Q50" s="45"/>
      <c r="R50" s="286"/>
      <c r="S50" s="208" t="s">
        <v>176</v>
      </c>
      <c r="T50" s="240"/>
      <c r="U50" s="198"/>
      <c r="AD50" s="230"/>
    </row>
    <row r="51" spans="1:30" s="229" customFormat="1" ht="33" customHeight="1" x14ac:dyDescent="0.5">
      <c r="A51" s="231"/>
      <c r="B51" s="494"/>
      <c r="C51" s="232"/>
      <c r="D51" s="233"/>
      <c r="E51" s="234"/>
      <c r="F51" s="234"/>
      <c r="G51" s="110"/>
      <c r="H51" s="110"/>
      <c r="I51" s="361"/>
      <c r="J51" s="361"/>
      <c r="K51" s="361"/>
      <c r="L51" s="361"/>
      <c r="M51" s="361"/>
      <c r="N51" s="361"/>
      <c r="O51" s="45"/>
      <c r="P51" s="286"/>
      <c r="Q51" s="45"/>
      <c r="R51" s="286"/>
      <c r="S51" s="235"/>
      <c r="T51" s="236"/>
      <c r="U51" s="198"/>
      <c r="AD51" s="230"/>
    </row>
    <row r="52" spans="1:30" s="229" customFormat="1" ht="33" customHeight="1" x14ac:dyDescent="0.5">
      <c r="A52" s="231"/>
      <c r="B52" s="494"/>
      <c r="C52" s="232"/>
      <c r="D52" s="233"/>
      <c r="E52" s="234"/>
      <c r="F52" s="234"/>
      <c r="G52" s="110"/>
      <c r="H52" s="110"/>
      <c r="I52" s="361"/>
      <c r="J52" s="361"/>
      <c r="K52" s="361"/>
      <c r="L52" s="361"/>
      <c r="M52" s="361"/>
      <c r="N52" s="361"/>
      <c r="O52" s="45"/>
      <c r="P52" s="286"/>
      <c r="Q52" s="45"/>
      <c r="R52" s="286"/>
      <c r="S52" s="208" t="s">
        <v>54</v>
      </c>
      <c r="T52" s="5"/>
      <c r="U52" s="198"/>
      <c r="AD52" s="230"/>
    </row>
    <row r="53" spans="1:30" s="229" customFormat="1" ht="33" customHeight="1" x14ac:dyDescent="0.5">
      <c r="A53" s="231"/>
      <c r="B53" s="494"/>
      <c r="C53" s="232"/>
      <c r="D53" s="233"/>
      <c r="E53" s="234"/>
      <c r="F53" s="234"/>
      <c r="G53" s="110"/>
      <c r="H53" s="110"/>
      <c r="I53" s="361"/>
      <c r="J53" s="361"/>
      <c r="K53" s="361"/>
      <c r="L53" s="361"/>
      <c r="M53" s="361"/>
      <c r="N53" s="361"/>
      <c r="O53" s="45"/>
      <c r="P53" s="286"/>
      <c r="Q53" s="45"/>
      <c r="R53" s="286"/>
      <c r="S53" s="9" t="s">
        <v>58</v>
      </c>
      <c r="T53" s="241"/>
      <c r="U53" s="198"/>
      <c r="AD53" s="230"/>
    </row>
    <row r="54" spans="1:30" s="229" customFormat="1" ht="33" customHeight="1" x14ac:dyDescent="0.5">
      <c r="A54" s="231"/>
      <c r="B54" s="494"/>
      <c r="C54" s="232"/>
      <c r="D54" s="233"/>
      <c r="E54" s="234"/>
      <c r="F54" s="234"/>
      <c r="G54" s="110"/>
      <c r="H54" s="110"/>
      <c r="I54" s="361"/>
      <c r="J54" s="361"/>
      <c r="K54" s="361"/>
      <c r="L54" s="361"/>
      <c r="M54" s="361"/>
      <c r="N54" s="361"/>
      <c r="O54" s="45"/>
      <c r="P54" s="286"/>
      <c r="Q54" s="45"/>
      <c r="R54" s="286"/>
      <c r="S54" s="9" t="s">
        <v>59</v>
      </c>
      <c r="T54" s="230"/>
      <c r="U54" s="198"/>
      <c r="AD54" s="230"/>
    </row>
    <row r="55" spans="1:30" s="229" customFormat="1" ht="33" customHeight="1" x14ac:dyDescent="0.5">
      <c r="A55" s="231"/>
      <c r="B55" s="494"/>
      <c r="C55" s="232"/>
      <c r="D55" s="233"/>
      <c r="E55" s="234"/>
      <c r="F55" s="234"/>
      <c r="G55" s="110"/>
      <c r="H55" s="110"/>
      <c r="I55" s="361"/>
      <c r="J55" s="361"/>
      <c r="K55" s="361"/>
      <c r="L55" s="361"/>
      <c r="M55" s="361"/>
      <c r="N55" s="361"/>
      <c r="O55" s="45"/>
      <c r="P55" s="286"/>
      <c r="Q55" s="45"/>
      <c r="R55" s="286"/>
      <c r="S55" s="208" t="s">
        <v>55</v>
      </c>
      <c r="T55" s="241"/>
      <c r="U55" s="198"/>
      <c r="AD55" s="230"/>
    </row>
    <row r="56" spans="1:30" s="229" customFormat="1" ht="33" customHeight="1" x14ac:dyDescent="0.5">
      <c r="A56" s="231"/>
      <c r="B56" s="494"/>
      <c r="C56" s="232"/>
      <c r="D56" s="233"/>
      <c r="E56" s="234"/>
      <c r="F56" s="234"/>
      <c r="G56" s="110"/>
      <c r="H56" s="110"/>
      <c r="I56" s="361"/>
      <c r="J56" s="361"/>
      <c r="K56" s="361"/>
      <c r="L56" s="361"/>
      <c r="M56" s="361"/>
      <c r="N56" s="361"/>
      <c r="O56" s="45"/>
      <c r="P56" s="286"/>
      <c r="Q56" s="3"/>
      <c r="R56" s="286"/>
      <c r="S56" s="212"/>
      <c r="T56" s="236"/>
      <c r="U56" s="198"/>
      <c r="AD56" s="230"/>
    </row>
    <row r="57" spans="1:30" s="229" customFormat="1" ht="33" customHeight="1" x14ac:dyDescent="0.5">
      <c r="A57" s="231"/>
      <c r="B57" s="494"/>
      <c r="C57" s="232"/>
      <c r="D57" s="233"/>
      <c r="E57" s="234"/>
      <c r="F57" s="234"/>
      <c r="G57" s="110"/>
      <c r="H57" s="110"/>
      <c r="I57" s="361"/>
      <c r="J57" s="361"/>
      <c r="K57" s="361"/>
      <c r="L57" s="361"/>
      <c r="M57" s="361"/>
      <c r="N57" s="361"/>
      <c r="O57" s="45"/>
      <c r="P57" s="286"/>
      <c r="Q57" s="3"/>
      <c r="R57" s="286"/>
      <c r="S57" s="212" t="s">
        <v>191</v>
      </c>
      <c r="T57" s="213" t="s">
        <v>190</v>
      </c>
      <c r="U57" s="198"/>
      <c r="AD57" s="230"/>
    </row>
    <row r="58" spans="1:30" s="229" customFormat="1" ht="33" customHeight="1" x14ac:dyDescent="0.5">
      <c r="A58" s="231"/>
      <c r="B58" s="494"/>
      <c r="C58" s="232"/>
      <c r="D58" s="233"/>
      <c r="E58" s="234"/>
      <c r="F58" s="234"/>
      <c r="G58" s="110"/>
      <c r="H58" s="110"/>
      <c r="I58" s="361"/>
      <c r="J58" s="361"/>
      <c r="K58" s="361"/>
      <c r="L58" s="361"/>
      <c r="M58" s="361"/>
      <c r="N58" s="361"/>
      <c r="O58" s="45"/>
      <c r="P58" s="286"/>
      <c r="Q58" s="3"/>
      <c r="R58" s="286"/>
      <c r="S58" s="212" t="s">
        <v>193</v>
      </c>
      <c r="T58" s="213" t="s">
        <v>190</v>
      </c>
      <c r="U58" s="198"/>
      <c r="AD58" s="230"/>
    </row>
    <row r="59" spans="1:30" s="229" customFormat="1" ht="33" customHeight="1" x14ac:dyDescent="0.5">
      <c r="A59" s="231"/>
      <c r="B59" s="494"/>
      <c r="C59" s="232"/>
      <c r="D59" s="233"/>
      <c r="E59" s="234"/>
      <c r="F59" s="234"/>
      <c r="G59" s="110"/>
      <c r="H59" s="110"/>
      <c r="I59" s="361"/>
      <c r="J59" s="361"/>
      <c r="K59" s="361"/>
      <c r="L59" s="361"/>
      <c r="M59" s="361"/>
      <c r="N59" s="361"/>
      <c r="O59" s="45"/>
      <c r="P59" s="286"/>
      <c r="Q59" s="3"/>
      <c r="R59" s="286"/>
      <c r="S59" s="242"/>
      <c r="T59" s="243"/>
      <c r="U59" s="198"/>
      <c r="AD59" s="230"/>
    </row>
    <row r="60" spans="1:30" s="229" customFormat="1" ht="33" customHeight="1" x14ac:dyDescent="0.5">
      <c r="A60" s="231"/>
      <c r="B60" s="494"/>
      <c r="C60" s="232"/>
      <c r="D60" s="233"/>
      <c r="E60" s="234"/>
      <c r="F60" s="234"/>
      <c r="G60" s="110"/>
      <c r="H60" s="110"/>
      <c r="I60" s="361"/>
      <c r="J60" s="361"/>
      <c r="K60" s="361"/>
      <c r="L60" s="361"/>
      <c r="M60" s="361"/>
      <c r="N60" s="361"/>
      <c r="O60" s="45"/>
      <c r="P60" s="286"/>
      <c r="Q60" s="3"/>
      <c r="R60" s="286"/>
      <c r="S60" s="244" t="s">
        <v>126</v>
      </c>
      <c r="T60" s="205"/>
      <c r="U60" s="198"/>
      <c r="AD60" s="230"/>
    </row>
    <row r="61" spans="1:30" s="229" customFormat="1" ht="33" customHeight="1" x14ac:dyDescent="0.5">
      <c r="A61" s="231"/>
      <c r="B61" s="494"/>
      <c r="C61" s="232"/>
      <c r="D61" s="233"/>
      <c r="E61" s="234"/>
      <c r="F61" s="234"/>
      <c r="G61" s="110"/>
      <c r="H61" s="110"/>
      <c r="I61" s="361"/>
      <c r="J61" s="361"/>
      <c r="K61" s="361"/>
      <c r="L61" s="361"/>
      <c r="M61" s="361"/>
      <c r="N61" s="361"/>
      <c r="O61" s="45"/>
      <c r="P61" s="286"/>
      <c r="Q61" s="3"/>
      <c r="R61" s="286"/>
      <c r="S61" s="146" t="s">
        <v>238</v>
      </c>
      <c r="T61" s="526" t="s">
        <v>311</v>
      </c>
      <c r="U61" s="198"/>
      <c r="AD61" s="230"/>
    </row>
    <row r="62" spans="1:30" s="229" customFormat="1" ht="33" customHeight="1" x14ac:dyDescent="0.5">
      <c r="A62" s="231"/>
      <c r="B62" s="494"/>
      <c r="C62" s="232"/>
      <c r="D62" s="233"/>
      <c r="E62" s="234"/>
      <c r="F62" s="234"/>
      <c r="G62" s="110"/>
      <c r="H62" s="110"/>
      <c r="I62" s="361"/>
      <c r="J62" s="361"/>
      <c r="K62" s="361"/>
      <c r="L62" s="361"/>
      <c r="M62" s="361"/>
      <c r="N62" s="361"/>
      <c r="O62" s="45"/>
      <c r="P62" s="286"/>
      <c r="Q62" s="3"/>
      <c r="R62" s="286"/>
      <c r="S62" s="235"/>
      <c r="T62" s="236"/>
      <c r="U62" s="198"/>
      <c r="AD62" s="230"/>
    </row>
    <row r="63" spans="1:30" s="229" customFormat="1" ht="33" customHeight="1" x14ac:dyDescent="0.5">
      <c r="A63" s="231"/>
      <c r="B63" s="494"/>
      <c r="C63" s="245"/>
      <c r="D63" s="245"/>
      <c r="E63" s="234"/>
      <c r="F63" s="246"/>
      <c r="G63" s="45"/>
      <c r="H63" s="45"/>
      <c r="I63" s="286"/>
      <c r="J63" s="286"/>
      <c r="K63" s="286"/>
      <c r="L63" s="286"/>
      <c r="M63" s="286"/>
      <c r="N63" s="286"/>
      <c r="O63" s="45"/>
      <c r="P63" s="286"/>
      <c r="Q63" s="45"/>
      <c r="R63" s="286"/>
      <c r="S63" s="247" t="s">
        <v>0</v>
      </c>
      <c r="T63" s="248">
        <f xml:space="preserve"> SUM(H35:H64)-SUM($G35:$G64)</f>
        <v>0.125</v>
      </c>
      <c r="AD63" s="230"/>
    </row>
    <row r="64" spans="1:30" s="229" customFormat="1" ht="33" customHeight="1" thickBot="1" x14ac:dyDescent="0.55000000000000004">
      <c r="A64" s="249"/>
      <c r="B64" s="494"/>
      <c r="C64" s="250"/>
      <c r="D64" s="250"/>
      <c r="E64" s="251"/>
      <c r="F64" s="251"/>
      <c r="G64" s="96"/>
      <c r="H64" s="96"/>
      <c r="I64" s="363"/>
      <c r="J64" s="363"/>
      <c r="K64" s="363"/>
      <c r="L64" s="363"/>
      <c r="M64" s="363"/>
      <c r="N64" s="363"/>
      <c r="O64" s="46"/>
      <c r="P64" s="305"/>
      <c r="Q64" s="97"/>
      <c r="R64" s="305"/>
      <c r="S64" s="252" t="s">
        <v>4</v>
      </c>
      <c r="T64" s="253">
        <f xml:space="preserve"> SUM(M35:M64)-SUM($J35:$J64)</f>
        <v>0.12916666666666665</v>
      </c>
      <c r="AD64" s="230"/>
    </row>
    <row r="65" spans="1:30" s="28" customFormat="1" ht="32.25" customHeight="1" x14ac:dyDescent="0.5">
      <c r="A65" s="55" t="s">
        <v>65</v>
      </c>
      <c r="B65" s="484" t="s">
        <v>39</v>
      </c>
      <c r="C65" s="101"/>
      <c r="D65" s="101"/>
      <c r="E65" s="73"/>
      <c r="F65" s="73"/>
      <c r="G65" s="74"/>
      <c r="H65" s="74"/>
      <c r="I65" s="364"/>
      <c r="J65" s="364"/>
      <c r="K65" s="364"/>
      <c r="L65" s="364"/>
      <c r="M65" s="364"/>
      <c r="N65" s="186"/>
      <c r="O65" s="48"/>
      <c r="P65" s="186"/>
      <c r="Q65" s="48"/>
      <c r="R65" s="186"/>
      <c r="S65" s="111"/>
      <c r="T65" s="75"/>
      <c r="U65" s="43"/>
      <c r="AD65" s="44"/>
    </row>
    <row r="66" spans="1:30" s="28" customFormat="1" ht="32.25" customHeight="1" x14ac:dyDescent="0.5">
      <c r="A66" s="56" t="s">
        <v>66</v>
      </c>
      <c r="B66" s="485"/>
      <c r="C66" s="102"/>
      <c r="D66" s="102"/>
      <c r="E66" s="76"/>
      <c r="F66" s="76"/>
      <c r="G66" s="77"/>
      <c r="H66" s="77"/>
      <c r="I66" s="365"/>
      <c r="J66" s="365"/>
      <c r="K66" s="365"/>
      <c r="L66" s="365"/>
      <c r="M66" s="365"/>
      <c r="N66" s="104"/>
      <c r="O66" s="53"/>
      <c r="P66" s="104"/>
      <c r="Q66" s="53"/>
      <c r="R66" s="104"/>
      <c r="S66" s="88" t="s">
        <v>216</v>
      </c>
      <c r="T66" s="95"/>
      <c r="U66" s="109"/>
      <c r="AD66" s="44"/>
    </row>
    <row r="67" spans="1:30" s="28" customFormat="1" ht="32.25" customHeight="1" x14ac:dyDescent="0.5">
      <c r="A67" s="56" t="s">
        <v>167</v>
      </c>
      <c r="B67" s="485"/>
      <c r="C67" s="82"/>
      <c r="D67" s="82"/>
      <c r="E67" s="76"/>
      <c r="F67" s="76"/>
      <c r="G67" s="77"/>
      <c r="H67" s="77"/>
      <c r="I67" s="365"/>
      <c r="J67" s="365"/>
      <c r="K67" s="365"/>
      <c r="L67" s="365"/>
      <c r="M67" s="365"/>
      <c r="N67" s="104"/>
      <c r="O67" s="53"/>
      <c r="P67" s="104"/>
      <c r="Q67" s="53"/>
      <c r="R67" s="104"/>
      <c r="S67" s="88"/>
      <c r="T67" s="95"/>
      <c r="U67" s="43"/>
      <c r="AD67" s="44"/>
    </row>
    <row r="68" spans="1:30" s="28" customFormat="1" ht="32.25" customHeight="1" x14ac:dyDescent="0.5">
      <c r="A68" s="56"/>
      <c r="B68" s="485"/>
      <c r="C68" s="102"/>
      <c r="D68" s="57"/>
      <c r="E68" s="57"/>
      <c r="F68" s="57"/>
      <c r="G68" s="58"/>
      <c r="H68" s="58"/>
      <c r="I68" s="366"/>
      <c r="J68" s="366"/>
      <c r="K68" s="366"/>
      <c r="L68" s="366"/>
      <c r="M68" s="371"/>
      <c r="N68" s="366"/>
      <c r="O68" s="14"/>
      <c r="P68" s="106"/>
      <c r="Q68" s="14"/>
      <c r="R68" s="106"/>
      <c r="S68" s="13" t="s">
        <v>0</v>
      </c>
      <c r="T68" s="2">
        <f xml:space="preserve"> SUM(H65:H69)-SUM($G65:$G69)</f>
        <v>0</v>
      </c>
      <c r="AD68" s="44"/>
    </row>
    <row r="69" spans="1:30" s="28" customFormat="1" ht="32.25" customHeight="1" thickBot="1" x14ac:dyDescent="0.55000000000000004">
      <c r="A69" s="60"/>
      <c r="B69" s="486"/>
      <c r="C69" s="103"/>
      <c r="D69" s="61"/>
      <c r="E69" s="61"/>
      <c r="F69" s="61"/>
      <c r="G69" s="62"/>
      <c r="H69" s="62"/>
      <c r="I69" s="367"/>
      <c r="J69" s="367"/>
      <c r="K69" s="367"/>
      <c r="L69" s="367"/>
      <c r="M69" s="372"/>
      <c r="N69" s="367"/>
      <c r="O69" s="64"/>
      <c r="P69" s="107"/>
      <c r="Q69" s="64"/>
      <c r="R69" s="107"/>
      <c r="S69" s="65" t="s">
        <v>4</v>
      </c>
      <c r="T69" s="66">
        <f xml:space="preserve"> SUM(M68:M69)-SUM($J68:$J69)</f>
        <v>0</v>
      </c>
      <c r="AD69" s="44"/>
    </row>
    <row r="70" spans="1:30" s="265" customFormat="1" ht="32.25" customHeight="1" x14ac:dyDescent="0.5">
      <c r="A70" s="254" t="s">
        <v>67</v>
      </c>
      <c r="B70" s="495" t="s">
        <v>2</v>
      </c>
      <c r="C70" s="194"/>
      <c r="D70" s="194"/>
      <c r="E70" s="195"/>
      <c r="F70" s="195"/>
      <c r="G70" s="350"/>
      <c r="H70" s="350"/>
      <c r="I70" s="359"/>
      <c r="J70" s="359"/>
      <c r="K70" s="359"/>
      <c r="L70" s="359"/>
      <c r="M70" s="359"/>
      <c r="N70" s="381"/>
      <c r="O70" s="131"/>
      <c r="P70" s="381"/>
      <c r="Q70" s="131"/>
      <c r="R70" s="381"/>
      <c r="S70" s="196"/>
      <c r="T70" s="197"/>
      <c r="U70" s="198"/>
      <c r="AD70" s="266"/>
    </row>
    <row r="71" spans="1:30" s="265" customFormat="1" ht="32.25" customHeight="1" x14ac:dyDescent="0.5">
      <c r="A71" s="258" t="s">
        <v>173</v>
      </c>
      <c r="B71" s="496"/>
      <c r="C71" s="202" t="s">
        <v>135</v>
      </c>
      <c r="D71" s="202" t="s">
        <v>43</v>
      </c>
      <c r="E71" s="393" t="s">
        <v>36</v>
      </c>
      <c r="F71" s="393" t="s">
        <v>37</v>
      </c>
      <c r="G71" s="351">
        <v>0.34375</v>
      </c>
      <c r="H71" s="352">
        <f>G71+30*"0:1:0"</f>
        <v>0.36458333333333331</v>
      </c>
      <c r="I71" s="365">
        <v>0.34861111111111109</v>
      </c>
      <c r="J71" s="365">
        <v>0.35208333333333336</v>
      </c>
      <c r="K71" s="365">
        <v>0.35625000000000001</v>
      </c>
      <c r="L71" s="365">
        <v>0.37986111111111109</v>
      </c>
      <c r="M71" s="365">
        <v>0.38541666666666669</v>
      </c>
      <c r="N71" s="365">
        <f t="shared" ref="N71:N74" si="1">SUM(M71-J71)</f>
        <v>3.3333333333333326E-2</v>
      </c>
      <c r="O71" s="132" t="s">
        <v>312</v>
      </c>
      <c r="P71" s="104">
        <v>18</v>
      </c>
      <c r="Q71" s="132" t="s">
        <v>48</v>
      </c>
      <c r="R71" s="104" t="s">
        <v>48</v>
      </c>
      <c r="S71" s="528" t="s">
        <v>314</v>
      </c>
      <c r="T71" s="527"/>
      <c r="U71" s="261"/>
      <c r="AD71" s="266"/>
    </row>
    <row r="72" spans="1:30" s="265" customFormat="1" ht="32.25" customHeight="1" x14ac:dyDescent="0.5">
      <c r="A72" s="258" t="s">
        <v>179</v>
      </c>
      <c r="B72" s="496"/>
      <c r="C72" s="202"/>
      <c r="D72" s="202"/>
      <c r="E72" s="393" t="s">
        <v>37</v>
      </c>
      <c r="F72" s="393" t="s">
        <v>35</v>
      </c>
      <c r="G72" s="352">
        <f>H71+45*"0:1:0"</f>
        <v>0.39583333333333331</v>
      </c>
      <c r="H72" s="352">
        <f>G72+70*"0:1:0"</f>
        <v>0.44444444444444442</v>
      </c>
      <c r="I72" s="365">
        <v>0.39305555555555555</v>
      </c>
      <c r="J72" s="365">
        <v>0.39374999999999999</v>
      </c>
      <c r="K72" s="365">
        <v>0.39861111111111114</v>
      </c>
      <c r="L72" s="365">
        <v>0.44930555555555557</v>
      </c>
      <c r="M72" s="365">
        <v>0.45416666666666666</v>
      </c>
      <c r="N72" s="365">
        <f t="shared" si="1"/>
        <v>6.0416666666666674E-2</v>
      </c>
      <c r="O72" s="132" t="s">
        <v>313</v>
      </c>
      <c r="P72" s="104">
        <v>32</v>
      </c>
      <c r="Q72" s="132" t="s">
        <v>48</v>
      </c>
      <c r="R72" s="104" t="s">
        <v>48</v>
      </c>
      <c r="S72" s="529" t="s">
        <v>315</v>
      </c>
      <c r="T72" s="527"/>
      <c r="U72" s="198"/>
      <c r="AD72" s="266"/>
    </row>
    <row r="73" spans="1:30" s="265" customFormat="1" ht="32.25" customHeight="1" x14ac:dyDescent="0.5">
      <c r="A73" s="258"/>
      <c r="B73" s="496"/>
      <c r="C73" s="202"/>
      <c r="D73" s="202"/>
      <c r="E73" s="393" t="s">
        <v>35</v>
      </c>
      <c r="F73" s="393" t="s">
        <v>37</v>
      </c>
      <c r="G73" s="352">
        <f>H72+50*"0:1:0"</f>
        <v>0.47916666666666663</v>
      </c>
      <c r="H73" s="352">
        <f>G73+70*"0:1:0"</f>
        <v>0.52777777777777779</v>
      </c>
      <c r="I73" s="365">
        <v>0.4777777777777778</v>
      </c>
      <c r="J73" s="365">
        <v>0.48055555555555557</v>
      </c>
      <c r="K73" s="365">
        <v>0.48541666666666666</v>
      </c>
      <c r="L73" s="365">
        <v>0.53194444444444444</v>
      </c>
      <c r="M73" s="365">
        <v>0.53819444444444442</v>
      </c>
      <c r="N73" s="365">
        <f t="shared" si="1"/>
        <v>5.7638888888888851E-2</v>
      </c>
      <c r="O73" s="132">
        <v>22</v>
      </c>
      <c r="P73" s="104">
        <v>29</v>
      </c>
      <c r="Q73" s="132" t="s">
        <v>48</v>
      </c>
      <c r="R73" s="104" t="s">
        <v>48</v>
      </c>
      <c r="S73" s="267" t="s">
        <v>188</v>
      </c>
      <c r="T73" s="205"/>
      <c r="U73" s="198"/>
      <c r="AD73" s="266"/>
    </row>
    <row r="74" spans="1:30" s="265" customFormat="1" ht="32.25" customHeight="1" x14ac:dyDescent="0.5">
      <c r="A74" s="258"/>
      <c r="B74" s="496"/>
      <c r="C74" s="202"/>
      <c r="D74" s="202"/>
      <c r="E74" s="393" t="s">
        <v>37</v>
      </c>
      <c r="F74" s="393" t="s">
        <v>36</v>
      </c>
      <c r="G74" s="352">
        <f>H73+50*"0:1:0"</f>
        <v>0.5625</v>
      </c>
      <c r="H74" s="352">
        <f>G74+30*"0:1:0"</f>
        <v>0.58333333333333337</v>
      </c>
      <c r="I74" s="365">
        <v>0.55972222222222223</v>
      </c>
      <c r="J74" s="365">
        <v>0.56180555555555556</v>
      </c>
      <c r="K74" s="365">
        <v>0.56666666666666665</v>
      </c>
      <c r="L74" s="365">
        <v>0.59027777777777779</v>
      </c>
      <c r="M74" s="365">
        <v>0.59583333333333333</v>
      </c>
      <c r="N74" s="365">
        <f t="shared" si="1"/>
        <v>3.4027777777777768E-2</v>
      </c>
      <c r="O74" s="132">
        <v>15</v>
      </c>
      <c r="P74" s="104">
        <v>21</v>
      </c>
      <c r="Q74" s="132" t="s">
        <v>48</v>
      </c>
      <c r="R74" s="104" t="s">
        <v>48</v>
      </c>
      <c r="S74" s="267" t="s">
        <v>188</v>
      </c>
      <c r="T74" s="205"/>
      <c r="U74" s="198"/>
      <c r="AD74" s="266"/>
    </row>
    <row r="75" spans="1:30" s="265" customFormat="1" ht="32.25" customHeight="1" x14ac:dyDescent="0.5">
      <c r="A75" s="258"/>
      <c r="B75" s="496"/>
      <c r="C75" s="202"/>
      <c r="D75" s="202"/>
      <c r="E75" s="203"/>
      <c r="F75" s="203"/>
      <c r="G75" s="351"/>
      <c r="H75" s="351"/>
      <c r="I75" s="360"/>
      <c r="J75" s="360"/>
      <c r="K75" s="360"/>
      <c r="L75" s="360"/>
      <c r="M75" s="360"/>
      <c r="N75" s="287"/>
      <c r="O75" s="132"/>
      <c r="P75" s="287"/>
      <c r="Q75" s="132"/>
      <c r="R75" s="287"/>
      <c r="S75" s="268"/>
      <c r="T75" s="206"/>
      <c r="U75" s="198"/>
      <c r="AD75" s="266"/>
    </row>
    <row r="76" spans="1:30" s="265" customFormat="1" ht="32.25" customHeight="1" x14ac:dyDescent="0.5">
      <c r="A76" s="258"/>
      <c r="B76" s="496"/>
      <c r="C76" s="202"/>
      <c r="D76" s="202"/>
      <c r="E76" s="203"/>
      <c r="F76" s="203"/>
      <c r="G76" s="351"/>
      <c r="H76" s="351"/>
      <c r="I76" s="360"/>
      <c r="J76" s="360"/>
      <c r="K76" s="360"/>
      <c r="L76" s="360"/>
      <c r="M76" s="360"/>
      <c r="N76" s="287"/>
      <c r="O76" s="132"/>
      <c r="P76" s="287"/>
      <c r="Q76" s="132"/>
      <c r="R76" s="287"/>
      <c r="S76" s="146" t="s">
        <v>54</v>
      </c>
      <c r="T76" s="269"/>
      <c r="U76" s="198"/>
      <c r="AD76" s="266"/>
    </row>
    <row r="77" spans="1:30" s="265" customFormat="1" ht="32.25" customHeight="1" x14ac:dyDescent="0.5">
      <c r="A77" s="258"/>
      <c r="B77" s="496"/>
      <c r="C77" s="202"/>
      <c r="D77" s="202"/>
      <c r="E77" s="203"/>
      <c r="F77" s="203"/>
      <c r="G77" s="351"/>
      <c r="H77" s="351"/>
      <c r="I77" s="360"/>
      <c r="J77" s="360"/>
      <c r="K77" s="360"/>
      <c r="L77" s="360"/>
      <c r="M77" s="360"/>
      <c r="N77" s="287"/>
      <c r="O77" s="132"/>
      <c r="P77" s="287"/>
      <c r="Q77" s="132"/>
      <c r="R77" s="287"/>
      <c r="S77" s="146" t="s">
        <v>58</v>
      </c>
      <c r="T77" s="269"/>
      <c r="U77" s="198"/>
      <c r="AD77" s="266"/>
    </row>
    <row r="78" spans="1:30" s="265" customFormat="1" ht="32.25" customHeight="1" x14ac:dyDescent="0.5">
      <c r="A78" s="258"/>
      <c r="B78" s="496"/>
      <c r="C78" s="202"/>
      <c r="D78" s="202"/>
      <c r="E78" s="203"/>
      <c r="F78" s="203"/>
      <c r="G78" s="351"/>
      <c r="H78" s="351"/>
      <c r="I78" s="360"/>
      <c r="J78" s="360"/>
      <c r="K78" s="360"/>
      <c r="L78" s="360"/>
      <c r="M78" s="360"/>
      <c r="N78" s="287"/>
      <c r="O78" s="132"/>
      <c r="P78" s="287"/>
      <c r="Q78" s="132"/>
      <c r="R78" s="287"/>
      <c r="S78" s="146" t="s">
        <v>59</v>
      </c>
      <c r="T78" s="205"/>
      <c r="U78" s="198"/>
      <c r="AD78" s="266"/>
    </row>
    <row r="79" spans="1:30" s="265" customFormat="1" ht="32.25" customHeight="1" x14ac:dyDescent="0.5">
      <c r="A79" s="258"/>
      <c r="B79" s="496"/>
      <c r="C79" s="202"/>
      <c r="D79" s="202"/>
      <c r="E79" s="203"/>
      <c r="F79" s="203"/>
      <c r="G79" s="351"/>
      <c r="H79" s="351"/>
      <c r="I79" s="360"/>
      <c r="J79" s="360"/>
      <c r="K79" s="360"/>
      <c r="L79" s="360"/>
      <c r="M79" s="360"/>
      <c r="N79" s="287"/>
      <c r="O79" s="132"/>
      <c r="P79" s="287"/>
      <c r="Q79" s="132"/>
      <c r="R79" s="287"/>
      <c r="S79" s="146" t="s">
        <v>55</v>
      </c>
      <c r="T79" s="205"/>
      <c r="U79" s="198"/>
      <c r="AD79" s="266"/>
    </row>
    <row r="80" spans="1:30" s="265" customFormat="1" ht="32.25" customHeight="1" x14ac:dyDescent="0.5">
      <c r="A80" s="258"/>
      <c r="B80" s="496"/>
      <c r="C80" s="202"/>
      <c r="D80" s="202"/>
      <c r="E80" s="203"/>
      <c r="F80" s="203"/>
      <c r="G80" s="351"/>
      <c r="H80" s="351"/>
      <c r="I80" s="360"/>
      <c r="J80" s="360"/>
      <c r="K80" s="360"/>
      <c r="L80" s="360"/>
      <c r="M80" s="360"/>
      <c r="N80" s="287"/>
      <c r="O80" s="132"/>
      <c r="P80" s="287"/>
      <c r="Q80" s="132"/>
      <c r="R80" s="287"/>
      <c r="S80" s="146"/>
      <c r="T80" s="148"/>
      <c r="U80" s="198"/>
      <c r="AD80" s="266"/>
    </row>
    <row r="81" spans="1:30" s="265" customFormat="1" ht="32.25" customHeight="1" x14ac:dyDescent="0.5">
      <c r="A81" s="258"/>
      <c r="B81" s="496"/>
      <c r="C81" s="202"/>
      <c r="D81" s="202"/>
      <c r="E81" s="203"/>
      <c r="F81" s="203"/>
      <c r="G81" s="351"/>
      <c r="H81" s="351"/>
      <c r="I81" s="360"/>
      <c r="J81" s="360"/>
      <c r="K81" s="360"/>
      <c r="L81" s="360"/>
      <c r="M81" s="360"/>
      <c r="N81" s="287"/>
      <c r="O81" s="132"/>
      <c r="P81" s="287"/>
      <c r="Q81" s="132"/>
      <c r="R81" s="287"/>
      <c r="S81" s="146" t="s">
        <v>79</v>
      </c>
      <c r="T81" s="148"/>
      <c r="U81" s="198"/>
      <c r="AD81" s="266"/>
    </row>
    <row r="82" spans="1:30" s="265" customFormat="1" ht="32.25" customHeight="1" x14ac:dyDescent="0.5">
      <c r="A82" s="258"/>
      <c r="B82" s="496"/>
      <c r="C82" s="202"/>
      <c r="D82" s="202"/>
      <c r="E82" s="203"/>
      <c r="F82" s="203"/>
      <c r="G82" s="351"/>
      <c r="H82" s="351"/>
      <c r="I82" s="360"/>
      <c r="J82" s="360"/>
      <c r="K82" s="360"/>
      <c r="L82" s="360"/>
      <c r="M82" s="360"/>
      <c r="N82" s="287"/>
      <c r="O82" s="132"/>
      <c r="P82" s="287"/>
      <c r="Q82" s="132"/>
      <c r="R82" s="287"/>
      <c r="S82" s="146" t="s">
        <v>53</v>
      </c>
      <c r="T82" s="148"/>
      <c r="U82" s="198"/>
      <c r="AD82" s="266"/>
    </row>
    <row r="83" spans="1:30" s="265" customFormat="1" ht="32.25" customHeight="1" x14ac:dyDescent="0.5">
      <c r="A83" s="258"/>
      <c r="B83" s="496"/>
      <c r="C83" s="202"/>
      <c r="D83" s="202"/>
      <c r="E83" s="203"/>
      <c r="F83" s="203"/>
      <c r="G83" s="351"/>
      <c r="H83" s="351"/>
      <c r="I83" s="360"/>
      <c r="J83" s="360"/>
      <c r="K83" s="360"/>
      <c r="L83" s="360"/>
      <c r="M83" s="360"/>
      <c r="N83" s="287"/>
      <c r="O83" s="132"/>
      <c r="P83" s="287"/>
      <c r="Q83" s="132"/>
      <c r="R83" s="287"/>
      <c r="S83" s="146" t="s">
        <v>80</v>
      </c>
      <c r="T83" s="148"/>
      <c r="U83" s="198"/>
      <c r="AD83" s="266"/>
    </row>
    <row r="84" spans="1:30" s="265" customFormat="1" ht="32.25" customHeight="1" x14ac:dyDescent="0.5">
      <c r="A84" s="258"/>
      <c r="B84" s="496"/>
      <c r="C84" s="202"/>
      <c r="D84" s="202"/>
      <c r="E84" s="203"/>
      <c r="F84" s="203"/>
      <c r="G84" s="351"/>
      <c r="H84" s="351"/>
      <c r="I84" s="360"/>
      <c r="J84" s="360"/>
      <c r="K84" s="360"/>
      <c r="L84" s="360"/>
      <c r="M84" s="360"/>
      <c r="N84" s="287"/>
      <c r="O84" s="132"/>
      <c r="P84" s="287"/>
      <c r="Q84" s="132"/>
      <c r="R84" s="287"/>
      <c r="S84" s="146" t="s">
        <v>81</v>
      </c>
      <c r="T84" s="148"/>
      <c r="U84" s="198"/>
      <c r="AD84" s="266"/>
    </row>
    <row r="85" spans="1:30" s="265" customFormat="1" ht="32.25" customHeight="1" x14ac:dyDescent="0.5">
      <c r="A85" s="258"/>
      <c r="B85" s="496"/>
      <c r="C85" s="202"/>
      <c r="D85" s="202"/>
      <c r="E85" s="203"/>
      <c r="F85" s="203"/>
      <c r="G85" s="351"/>
      <c r="H85" s="351"/>
      <c r="I85" s="360"/>
      <c r="J85" s="360"/>
      <c r="K85" s="360"/>
      <c r="L85" s="360"/>
      <c r="M85" s="360"/>
      <c r="N85" s="287"/>
      <c r="O85" s="132"/>
      <c r="P85" s="287"/>
      <c r="Q85" s="132"/>
      <c r="R85" s="287"/>
      <c r="S85" s="146" t="s">
        <v>82</v>
      </c>
      <c r="T85" s="148"/>
      <c r="U85" s="198"/>
      <c r="AD85" s="266"/>
    </row>
    <row r="86" spans="1:30" s="265" customFormat="1" ht="32.25" customHeight="1" x14ac:dyDescent="0.5">
      <c r="A86" s="258"/>
      <c r="B86" s="496"/>
      <c r="C86" s="202"/>
      <c r="D86" s="202"/>
      <c r="E86" s="203"/>
      <c r="F86" s="203"/>
      <c r="G86" s="351"/>
      <c r="H86" s="351"/>
      <c r="I86" s="360"/>
      <c r="J86" s="360"/>
      <c r="K86" s="360"/>
      <c r="L86" s="360"/>
      <c r="M86" s="360"/>
      <c r="N86" s="287"/>
      <c r="O86" s="132"/>
      <c r="P86" s="287"/>
      <c r="Q86" s="132"/>
      <c r="R86" s="287"/>
      <c r="S86" s="146" t="s">
        <v>237</v>
      </c>
      <c r="T86" s="148"/>
      <c r="U86" s="198"/>
      <c r="AD86" s="266"/>
    </row>
    <row r="87" spans="1:30" s="265" customFormat="1" ht="32.25" customHeight="1" x14ac:dyDescent="0.5">
      <c r="A87" s="258"/>
      <c r="B87" s="496"/>
      <c r="C87" s="202"/>
      <c r="D87" s="202"/>
      <c r="E87" s="203"/>
      <c r="F87" s="203"/>
      <c r="G87" s="351"/>
      <c r="H87" s="351"/>
      <c r="I87" s="360"/>
      <c r="J87" s="360"/>
      <c r="K87" s="360"/>
      <c r="L87" s="360"/>
      <c r="M87" s="360"/>
      <c r="N87" s="287"/>
      <c r="O87" s="132"/>
      <c r="P87" s="287"/>
      <c r="Q87" s="132"/>
      <c r="R87" s="287"/>
      <c r="S87" s="146"/>
      <c r="T87" s="148"/>
      <c r="U87" s="198"/>
      <c r="AD87" s="266"/>
    </row>
    <row r="88" spans="1:30" s="265" customFormat="1" ht="32.25" customHeight="1" x14ac:dyDescent="0.5">
      <c r="A88" s="258"/>
      <c r="B88" s="496"/>
      <c r="C88" s="202"/>
      <c r="D88" s="202"/>
      <c r="E88" s="203"/>
      <c r="F88" s="203"/>
      <c r="G88" s="351"/>
      <c r="H88" s="351"/>
      <c r="I88" s="360"/>
      <c r="J88" s="360"/>
      <c r="K88" s="360"/>
      <c r="L88" s="360"/>
      <c r="M88" s="360"/>
      <c r="N88" s="287"/>
      <c r="O88" s="132"/>
      <c r="P88" s="287"/>
      <c r="Q88" s="132"/>
      <c r="R88" s="287"/>
      <c r="S88" s="146" t="s">
        <v>73</v>
      </c>
      <c r="T88" s="206"/>
      <c r="U88" s="198"/>
      <c r="AD88" s="266"/>
    </row>
    <row r="89" spans="1:30" s="265" customFormat="1" ht="32.25" customHeight="1" x14ac:dyDescent="0.5">
      <c r="A89" s="258"/>
      <c r="B89" s="496"/>
      <c r="C89" s="202"/>
      <c r="D89" s="202"/>
      <c r="E89" s="203"/>
      <c r="F89" s="203"/>
      <c r="G89" s="351"/>
      <c r="H89" s="351"/>
      <c r="I89" s="360"/>
      <c r="J89" s="360"/>
      <c r="K89" s="360"/>
      <c r="L89" s="360"/>
      <c r="M89" s="360"/>
      <c r="N89" s="287"/>
      <c r="O89" s="132"/>
      <c r="P89" s="287"/>
      <c r="Q89" s="132"/>
      <c r="R89" s="287"/>
      <c r="S89" s="207" t="s">
        <v>74</v>
      </c>
      <c r="T89" s="243"/>
      <c r="U89" s="198"/>
      <c r="AD89" s="266"/>
    </row>
    <row r="90" spans="1:30" s="265" customFormat="1" ht="32.25" customHeight="1" x14ac:dyDescent="0.5">
      <c r="A90" s="258"/>
      <c r="B90" s="496"/>
      <c r="C90" s="202"/>
      <c r="D90" s="202"/>
      <c r="E90" s="203"/>
      <c r="F90" s="203"/>
      <c r="G90" s="351"/>
      <c r="H90" s="351"/>
      <c r="I90" s="360"/>
      <c r="J90" s="360"/>
      <c r="K90" s="360"/>
      <c r="L90" s="360"/>
      <c r="M90" s="360"/>
      <c r="N90" s="287"/>
      <c r="O90" s="132"/>
      <c r="P90" s="287"/>
      <c r="Q90" s="132"/>
      <c r="R90" s="287"/>
      <c r="S90" s="207" t="s">
        <v>75</v>
      </c>
      <c r="T90" s="243"/>
      <c r="U90" s="198"/>
      <c r="AD90" s="266"/>
    </row>
    <row r="91" spans="1:30" s="265" customFormat="1" ht="32.25" customHeight="1" x14ac:dyDescent="0.5">
      <c r="A91" s="258"/>
      <c r="B91" s="496"/>
      <c r="C91" s="202"/>
      <c r="D91" s="202"/>
      <c r="E91" s="203"/>
      <c r="F91" s="203"/>
      <c r="G91" s="351"/>
      <c r="H91" s="351"/>
      <c r="I91" s="360"/>
      <c r="J91" s="360"/>
      <c r="K91" s="360"/>
      <c r="L91" s="360"/>
      <c r="M91" s="360"/>
      <c r="N91" s="287"/>
      <c r="O91" s="132"/>
      <c r="P91" s="287"/>
      <c r="Q91" s="132"/>
      <c r="R91" s="287"/>
      <c r="S91" s="208" t="s">
        <v>76</v>
      </c>
      <c r="T91" s="206"/>
      <c r="U91" s="198"/>
      <c r="AD91" s="266"/>
    </row>
    <row r="92" spans="1:30" s="265" customFormat="1" ht="32.25" customHeight="1" x14ac:dyDescent="0.5">
      <c r="A92" s="258"/>
      <c r="B92" s="496"/>
      <c r="C92" s="202"/>
      <c r="D92" s="202"/>
      <c r="E92" s="203"/>
      <c r="F92" s="203"/>
      <c r="G92" s="351"/>
      <c r="H92" s="351"/>
      <c r="I92" s="360"/>
      <c r="J92" s="360"/>
      <c r="K92" s="360"/>
      <c r="L92" s="360"/>
      <c r="M92" s="360"/>
      <c r="N92" s="287"/>
      <c r="O92" s="132"/>
      <c r="P92" s="287"/>
      <c r="Q92" s="132"/>
      <c r="R92" s="287"/>
      <c r="S92" s="209" t="s">
        <v>77</v>
      </c>
      <c r="T92" s="243"/>
      <c r="U92" s="198"/>
      <c r="AD92" s="266"/>
    </row>
    <row r="93" spans="1:30" s="265" customFormat="1" ht="32.25" customHeight="1" x14ac:dyDescent="0.5">
      <c r="A93" s="258"/>
      <c r="B93" s="496"/>
      <c r="C93" s="202"/>
      <c r="D93" s="202"/>
      <c r="E93" s="203"/>
      <c r="F93" s="214"/>
      <c r="G93" s="132"/>
      <c r="H93" s="132"/>
      <c r="I93" s="287"/>
      <c r="J93" s="287"/>
      <c r="K93" s="287"/>
      <c r="L93" s="287"/>
      <c r="M93" s="287"/>
      <c r="N93" s="287"/>
      <c r="O93" s="132"/>
      <c r="P93" s="287"/>
      <c r="Q93" s="132"/>
      <c r="R93" s="287"/>
      <c r="S93" s="209" t="s">
        <v>78</v>
      </c>
      <c r="T93" s="243"/>
      <c r="U93" s="198"/>
      <c r="AD93" s="266"/>
    </row>
    <row r="94" spans="1:30" s="265" customFormat="1" ht="32.25" customHeight="1" x14ac:dyDescent="0.5">
      <c r="A94" s="258"/>
      <c r="B94" s="496"/>
      <c r="C94" s="202"/>
      <c r="D94" s="202"/>
      <c r="E94" s="203"/>
      <c r="F94" s="214"/>
      <c r="G94" s="132"/>
      <c r="H94" s="132"/>
      <c r="I94" s="287"/>
      <c r="J94" s="287"/>
      <c r="K94" s="287"/>
      <c r="L94" s="287"/>
      <c r="M94" s="287"/>
      <c r="N94" s="287"/>
      <c r="O94" s="132"/>
      <c r="P94" s="287"/>
      <c r="Q94" s="132"/>
      <c r="R94" s="287"/>
      <c r="S94" s="208" t="s">
        <v>168</v>
      </c>
      <c r="T94" s="243"/>
      <c r="U94" s="198"/>
      <c r="AD94" s="266"/>
    </row>
    <row r="95" spans="1:30" s="265" customFormat="1" ht="32.25" customHeight="1" x14ac:dyDescent="0.5">
      <c r="A95" s="258"/>
      <c r="B95" s="496"/>
      <c r="C95" s="202"/>
      <c r="D95" s="202"/>
      <c r="E95" s="203"/>
      <c r="F95" s="214"/>
      <c r="G95" s="132"/>
      <c r="H95" s="132"/>
      <c r="I95" s="287"/>
      <c r="J95" s="287"/>
      <c r="K95" s="287"/>
      <c r="L95" s="287"/>
      <c r="M95" s="287"/>
      <c r="N95" s="287"/>
      <c r="O95" s="132"/>
      <c r="P95" s="287"/>
      <c r="Q95" s="132"/>
      <c r="R95" s="287"/>
      <c r="S95" s="210" t="s">
        <v>169</v>
      </c>
      <c r="T95" s="243"/>
      <c r="U95" s="198"/>
      <c r="AD95" s="266"/>
    </row>
    <row r="96" spans="1:30" s="265" customFormat="1" ht="32.25" customHeight="1" x14ac:dyDescent="0.5">
      <c r="A96" s="258"/>
      <c r="B96" s="496"/>
      <c r="C96" s="202"/>
      <c r="D96" s="202"/>
      <c r="E96" s="203"/>
      <c r="F96" s="214"/>
      <c r="G96" s="132"/>
      <c r="H96" s="132"/>
      <c r="I96" s="287"/>
      <c r="J96" s="287"/>
      <c r="K96" s="287"/>
      <c r="L96" s="287"/>
      <c r="M96" s="287"/>
      <c r="N96" s="287"/>
      <c r="O96" s="132"/>
      <c r="P96" s="287"/>
      <c r="Q96" s="132"/>
      <c r="R96" s="287"/>
      <c r="S96" s="210" t="s">
        <v>170</v>
      </c>
      <c r="T96" s="243"/>
      <c r="U96" s="198"/>
      <c r="AD96" s="266"/>
    </row>
    <row r="97" spans="1:30" s="265" customFormat="1" ht="32.25" customHeight="1" x14ac:dyDescent="0.5">
      <c r="A97" s="258"/>
      <c r="B97" s="496"/>
      <c r="C97" s="202"/>
      <c r="D97" s="202"/>
      <c r="E97" s="203"/>
      <c r="F97" s="214"/>
      <c r="G97" s="132"/>
      <c r="H97" s="132"/>
      <c r="I97" s="287"/>
      <c r="J97" s="287"/>
      <c r="K97" s="287"/>
      <c r="L97" s="287"/>
      <c r="M97" s="287"/>
      <c r="N97" s="287"/>
      <c r="O97" s="132"/>
      <c r="P97" s="287"/>
      <c r="Q97" s="132"/>
      <c r="R97" s="287"/>
      <c r="S97" s="210" t="s">
        <v>171</v>
      </c>
      <c r="T97" s="243"/>
      <c r="U97" s="198"/>
      <c r="AD97" s="266"/>
    </row>
    <row r="98" spans="1:30" s="265" customFormat="1" ht="32.25" customHeight="1" x14ac:dyDescent="0.5">
      <c r="A98" s="258"/>
      <c r="B98" s="496"/>
      <c r="C98" s="202"/>
      <c r="D98" s="202"/>
      <c r="E98" s="203"/>
      <c r="F98" s="214"/>
      <c r="G98" s="132"/>
      <c r="H98" s="132"/>
      <c r="I98" s="287"/>
      <c r="J98" s="287"/>
      <c r="K98" s="287"/>
      <c r="L98" s="287"/>
      <c r="M98" s="287"/>
      <c r="N98" s="287"/>
      <c r="O98" s="132"/>
      <c r="P98" s="287"/>
      <c r="Q98" s="132"/>
      <c r="R98" s="287"/>
      <c r="S98" s="211" t="s">
        <v>175</v>
      </c>
      <c r="T98" s="243"/>
      <c r="U98" s="198"/>
      <c r="AD98" s="266"/>
    </row>
    <row r="99" spans="1:30" s="265" customFormat="1" ht="32.25" customHeight="1" x14ac:dyDescent="0.5">
      <c r="A99" s="258"/>
      <c r="B99" s="496"/>
      <c r="C99" s="202"/>
      <c r="D99" s="202"/>
      <c r="E99" s="203"/>
      <c r="F99" s="214"/>
      <c r="G99" s="132"/>
      <c r="H99" s="132"/>
      <c r="I99" s="287"/>
      <c r="J99" s="287"/>
      <c r="K99" s="287"/>
      <c r="L99" s="287"/>
      <c r="M99" s="287"/>
      <c r="N99" s="287"/>
      <c r="O99" s="132"/>
      <c r="P99" s="287"/>
      <c r="Q99" s="132"/>
      <c r="R99" s="287"/>
      <c r="S99" s="208" t="s">
        <v>176</v>
      </c>
      <c r="T99" s="243"/>
      <c r="U99" s="198"/>
      <c r="AD99" s="266"/>
    </row>
    <row r="100" spans="1:30" s="265" customFormat="1" ht="32.25" customHeight="1" x14ac:dyDescent="0.5">
      <c r="A100" s="258"/>
      <c r="B100" s="496"/>
      <c r="C100" s="202"/>
      <c r="D100" s="202"/>
      <c r="E100" s="203"/>
      <c r="F100" s="214"/>
      <c r="G100" s="132"/>
      <c r="H100" s="132"/>
      <c r="I100" s="287"/>
      <c r="J100" s="287"/>
      <c r="K100" s="287"/>
      <c r="L100" s="287"/>
      <c r="M100" s="287"/>
      <c r="N100" s="287"/>
      <c r="O100" s="132"/>
      <c r="P100" s="287"/>
      <c r="Q100" s="132"/>
      <c r="R100" s="287"/>
      <c r="S100" s="242"/>
      <c r="T100" s="243"/>
      <c r="U100" s="198"/>
      <c r="AD100" s="266"/>
    </row>
    <row r="101" spans="1:30" s="265" customFormat="1" ht="32.25" customHeight="1" x14ac:dyDescent="0.5">
      <c r="A101" s="258"/>
      <c r="B101" s="496"/>
      <c r="C101" s="202"/>
      <c r="D101" s="202"/>
      <c r="E101" s="203"/>
      <c r="F101" s="214"/>
      <c r="G101" s="132"/>
      <c r="H101" s="132"/>
      <c r="I101" s="287"/>
      <c r="J101" s="287"/>
      <c r="K101" s="287"/>
      <c r="L101" s="287"/>
      <c r="M101" s="287"/>
      <c r="N101" s="287"/>
      <c r="O101" s="132"/>
      <c r="P101" s="287"/>
      <c r="Q101" s="132"/>
      <c r="R101" s="287"/>
      <c r="S101" s="212" t="s">
        <v>193</v>
      </c>
      <c r="T101" s="213" t="s">
        <v>190</v>
      </c>
      <c r="U101" s="198"/>
      <c r="AD101" s="266"/>
    </row>
    <row r="102" spans="1:30" s="265" customFormat="1" ht="32.25" customHeight="1" x14ac:dyDescent="0.5">
      <c r="A102" s="258"/>
      <c r="B102" s="496"/>
      <c r="C102" s="202"/>
      <c r="D102" s="202"/>
      <c r="E102" s="203"/>
      <c r="F102" s="214"/>
      <c r="G102" s="132"/>
      <c r="H102" s="132"/>
      <c r="I102" s="287"/>
      <c r="J102" s="287"/>
      <c r="K102" s="287"/>
      <c r="L102" s="287"/>
      <c r="M102" s="287"/>
      <c r="N102" s="287"/>
      <c r="O102" s="132"/>
      <c r="P102" s="287"/>
      <c r="Q102" s="132"/>
      <c r="R102" s="287"/>
      <c r="S102" s="212" t="s">
        <v>194</v>
      </c>
      <c r="T102" s="213" t="s">
        <v>190</v>
      </c>
      <c r="U102" s="198"/>
      <c r="AD102" s="266"/>
    </row>
    <row r="103" spans="1:30" s="265" customFormat="1" ht="32.25" customHeight="1" x14ac:dyDescent="0.5">
      <c r="A103" s="258"/>
      <c r="B103" s="496"/>
      <c r="C103" s="202"/>
      <c r="D103" s="202"/>
      <c r="E103" s="203"/>
      <c r="F103" s="214"/>
      <c r="G103" s="132"/>
      <c r="H103" s="132"/>
      <c r="I103" s="287"/>
      <c r="J103" s="287"/>
      <c r="K103" s="287"/>
      <c r="L103" s="287"/>
      <c r="M103" s="287"/>
      <c r="N103" s="287"/>
      <c r="O103" s="132"/>
      <c r="P103" s="287"/>
      <c r="Q103" s="132"/>
      <c r="R103" s="287"/>
      <c r="S103" s="212" t="s">
        <v>191</v>
      </c>
      <c r="T103" s="213" t="s">
        <v>190</v>
      </c>
      <c r="U103" s="198"/>
      <c r="AD103" s="266"/>
    </row>
    <row r="104" spans="1:30" s="265" customFormat="1" ht="32.25" customHeight="1" x14ac:dyDescent="0.5">
      <c r="A104" s="258"/>
      <c r="B104" s="496"/>
      <c r="C104" s="202"/>
      <c r="D104" s="202"/>
      <c r="E104" s="203"/>
      <c r="F104" s="214"/>
      <c r="G104" s="132"/>
      <c r="H104" s="132"/>
      <c r="I104" s="287"/>
      <c r="J104" s="287"/>
      <c r="K104" s="287"/>
      <c r="L104" s="287"/>
      <c r="M104" s="287"/>
      <c r="N104" s="287"/>
      <c r="O104" s="132"/>
      <c r="P104" s="287"/>
      <c r="Q104" s="132"/>
      <c r="R104" s="287"/>
      <c r="S104" s="242"/>
      <c r="T104" s="243"/>
      <c r="U104" s="198"/>
      <c r="AD104" s="266"/>
    </row>
    <row r="105" spans="1:30" s="265" customFormat="1" ht="32.25" customHeight="1" x14ac:dyDescent="0.5">
      <c r="A105" s="258"/>
      <c r="B105" s="496"/>
      <c r="C105" s="202"/>
      <c r="D105" s="202"/>
      <c r="E105" s="203"/>
      <c r="F105" s="214"/>
      <c r="G105" s="132"/>
      <c r="H105" s="132"/>
      <c r="I105" s="287"/>
      <c r="J105" s="287"/>
      <c r="K105" s="287"/>
      <c r="L105" s="287"/>
      <c r="M105" s="287"/>
      <c r="N105" s="287"/>
      <c r="O105" s="132"/>
      <c r="P105" s="287"/>
      <c r="Q105" s="132"/>
      <c r="R105" s="287"/>
      <c r="S105" s="244" t="s">
        <v>126</v>
      </c>
      <c r="T105" s="205"/>
      <c r="U105" s="198"/>
      <c r="AD105" s="266"/>
    </row>
    <row r="106" spans="1:30" s="265" customFormat="1" ht="32.25" customHeight="1" x14ac:dyDescent="0.5">
      <c r="A106" s="258"/>
      <c r="B106" s="496"/>
      <c r="C106" s="202"/>
      <c r="D106" s="202"/>
      <c r="E106" s="203"/>
      <c r="F106" s="214"/>
      <c r="G106" s="132"/>
      <c r="H106" s="132"/>
      <c r="I106" s="287"/>
      <c r="J106" s="287"/>
      <c r="K106" s="287"/>
      <c r="L106" s="287"/>
      <c r="M106" s="287"/>
      <c r="N106" s="287"/>
      <c r="O106" s="132"/>
      <c r="P106" s="287"/>
      <c r="Q106" s="132"/>
      <c r="R106" s="287"/>
      <c r="S106" s="146" t="s">
        <v>238</v>
      </c>
      <c r="T106" s="526" t="s">
        <v>311</v>
      </c>
      <c r="U106" s="198"/>
      <c r="AD106" s="266"/>
    </row>
    <row r="107" spans="1:30" s="265" customFormat="1" ht="32.25" customHeight="1" x14ac:dyDescent="0.5">
      <c r="A107" s="258"/>
      <c r="B107" s="496"/>
      <c r="C107" s="202"/>
      <c r="D107" s="202"/>
      <c r="E107" s="203"/>
      <c r="F107" s="214"/>
      <c r="G107" s="132"/>
      <c r="H107" s="132"/>
      <c r="I107" s="287"/>
      <c r="J107" s="287"/>
      <c r="K107" s="287"/>
      <c r="L107" s="287"/>
      <c r="M107" s="287"/>
      <c r="N107" s="287"/>
      <c r="O107" s="132"/>
      <c r="P107" s="287"/>
      <c r="Q107" s="132"/>
      <c r="R107" s="287"/>
      <c r="S107" s="146" t="s">
        <v>239</v>
      </c>
      <c r="T107" s="530" t="s">
        <v>317</v>
      </c>
      <c r="U107" s="198"/>
      <c r="AD107" s="266"/>
    </row>
    <row r="108" spans="1:30" s="265" customFormat="1" ht="32.25" customHeight="1" x14ac:dyDescent="0.5">
      <c r="A108" s="258"/>
      <c r="B108" s="496"/>
      <c r="C108" s="202"/>
      <c r="D108" s="202"/>
      <c r="E108" s="203"/>
      <c r="F108" s="214"/>
      <c r="G108" s="132"/>
      <c r="H108" s="132"/>
      <c r="I108" s="287"/>
      <c r="J108" s="287"/>
      <c r="K108" s="287"/>
      <c r="L108" s="287"/>
      <c r="M108" s="287"/>
      <c r="N108" s="287"/>
      <c r="O108" s="132"/>
      <c r="P108" s="287"/>
      <c r="Q108" s="132"/>
      <c r="R108" s="287"/>
      <c r="S108" s="146"/>
      <c r="T108" s="148"/>
      <c r="U108" s="198"/>
      <c r="AD108" s="266"/>
    </row>
    <row r="109" spans="1:30" s="265" customFormat="1" ht="32.25" customHeight="1" x14ac:dyDescent="0.5">
      <c r="A109" s="258"/>
      <c r="B109" s="496"/>
      <c r="C109" s="202"/>
      <c r="D109" s="215"/>
      <c r="E109" s="215"/>
      <c r="F109" s="215"/>
      <c r="G109" s="58"/>
      <c r="H109" s="58"/>
      <c r="I109" s="361"/>
      <c r="J109" s="361"/>
      <c r="K109" s="361"/>
      <c r="L109" s="361"/>
      <c r="M109" s="369"/>
      <c r="N109" s="361"/>
      <c r="O109" s="14"/>
      <c r="P109" s="286"/>
      <c r="Q109" s="14"/>
      <c r="R109" s="286"/>
      <c r="S109" s="216" t="s">
        <v>0</v>
      </c>
      <c r="T109" s="217">
        <f xml:space="preserve"> SUM(H70:H110)-SUM($G70:$G110)</f>
        <v>0.13888888888888884</v>
      </c>
      <c r="AD109" s="266"/>
    </row>
    <row r="110" spans="1:30" s="265" customFormat="1" ht="32.25" customHeight="1" thickBot="1" x14ac:dyDescent="0.55000000000000004">
      <c r="A110" s="263"/>
      <c r="B110" s="497"/>
      <c r="C110" s="220"/>
      <c r="D110" s="264"/>
      <c r="E110" s="264"/>
      <c r="F110" s="264"/>
      <c r="G110" s="62"/>
      <c r="H110" s="62"/>
      <c r="I110" s="368"/>
      <c r="J110" s="368"/>
      <c r="K110" s="368"/>
      <c r="L110" s="368"/>
      <c r="M110" s="362"/>
      <c r="N110" s="368"/>
      <c r="O110" s="64"/>
      <c r="P110" s="289"/>
      <c r="Q110" s="64"/>
      <c r="R110" s="289"/>
      <c r="S110" s="222" t="s">
        <v>4</v>
      </c>
      <c r="T110" s="223">
        <f xml:space="preserve"> SUM(M70:M110)-SUM($J70:$J110)</f>
        <v>0.18541666666666634</v>
      </c>
      <c r="AD110" s="266"/>
    </row>
    <row r="111" spans="1:30" s="265" customFormat="1" ht="32.25" customHeight="1" x14ac:dyDescent="0.5">
      <c r="A111" s="254" t="s">
        <v>158</v>
      </c>
      <c r="B111" s="489" t="s">
        <v>1</v>
      </c>
      <c r="C111" s="194"/>
      <c r="D111" s="194"/>
      <c r="E111" s="255"/>
      <c r="F111" s="255"/>
      <c r="G111" s="74"/>
      <c r="H111" s="74"/>
      <c r="I111" s="359"/>
      <c r="J111" s="359"/>
      <c r="K111" s="359"/>
      <c r="L111" s="359"/>
      <c r="M111" s="359"/>
      <c r="N111" s="381"/>
      <c r="O111" s="48"/>
      <c r="P111" s="381"/>
      <c r="Q111" s="48"/>
      <c r="R111" s="381"/>
      <c r="S111" s="256"/>
      <c r="T111" s="257"/>
      <c r="U111" s="198"/>
      <c r="AD111" s="266"/>
    </row>
    <row r="112" spans="1:30" s="265" customFormat="1" ht="32.25" customHeight="1" x14ac:dyDescent="0.5">
      <c r="A112" s="258" t="s">
        <v>16</v>
      </c>
      <c r="B112" s="487"/>
      <c r="C112" s="202" t="s">
        <v>222</v>
      </c>
      <c r="D112" s="202" t="s">
        <v>43</v>
      </c>
      <c r="E112" s="394" t="s">
        <v>35</v>
      </c>
      <c r="F112" s="394" t="s">
        <v>10</v>
      </c>
      <c r="G112" s="353">
        <v>0.3125</v>
      </c>
      <c r="H112" s="353">
        <f>G112+30*"0:1:0"</f>
        <v>0.33333333333333331</v>
      </c>
      <c r="I112" s="371">
        <v>0.30555555555555558</v>
      </c>
      <c r="J112" s="371">
        <v>0.30833333333333335</v>
      </c>
      <c r="K112" s="371">
        <v>0.31319444444444444</v>
      </c>
      <c r="L112" s="371">
        <v>0.3347222222222222</v>
      </c>
      <c r="M112" s="371">
        <v>0.33611111111111114</v>
      </c>
      <c r="N112" s="365">
        <f t="shared" ref="N112:N113" si="2">SUM(M112-J112)</f>
        <v>2.777777777777779E-2</v>
      </c>
      <c r="O112" s="357">
        <v>12</v>
      </c>
      <c r="P112" s="106">
        <v>8</v>
      </c>
      <c r="Q112" s="3" t="s">
        <v>48</v>
      </c>
      <c r="R112" s="106" t="s">
        <v>48</v>
      </c>
      <c r="S112" s="270" t="s">
        <v>291</v>
      </c>
      <c r="T112" s="271"/>
      <c r="U112" s="198"/>
      <c r="AD112" s="266"/>
    </row>
    <row r="113" spans="1:30" s="265" customFormat="1" ht="32.25" customHeight="1" x14ac:dyDescent="0.5">
      <c r="A113" s="258" t="s">
        <v>159</v>
      </c>
      <c r="B113" s="487"/>
      <c r="C113" s="202"/>
      <c r="D113" s="202"/>
      <c r="E113" s="394" t="s">
        <v>10</v>
      </c>
      <c r="F113" s="394" t="s">
        <v>35</v>
      </c>
      <c r="G113" s="353">
        <f>H112+45*"0:1:0"</f>
        <v>0.36458333333333331</v>
      </c>
      <c r="H113" s="353">
        <f>G113+30*"0:1:0"</f>
        <v>0.38541666666666663</v>
      </c>
      <c r="I113" s="371">
        <v>0.34791666666666665</v>
      </c>
      <c r="J113" s="371">
        <v>0.34930555555555554</v>
      </c>
      <c r="K113" s="371">
        <v>0.35138888888888886</v>
      </c>
      <c r="L113" s="371">
        <v>0.37430555555555556</v>
      </c>
      <c r="M113" s="371">
        <v>0.37638888888888888</v>
      </c>
      <c r="N113" s="365">
        <f t="shared" si="2"/>
        <v>2.7083333333333348E-2</v>
      </c>
      <c r="O113" s="357">
        <v>9</v>
      </c>
      <c r="P113" s="106">
        <v>4</v>
      </c>
      <c r="Q113" s="3" t="s">
        <v>48</v>
      </c>
      <c r="R113" s="106" t="s">
        <v>48</v>
      </c>
      <c r="S113" s="242" t="s">
        <v>268</v>
      </c>
      <c r="T113" s="271"/>
      <c r="U113" s="198"/>
      <c r="AD113" s="266"/>
    </row>
    <row r="114" spans="1:30" s="265" customFormat="1" ht="32.25" customHeight="1" x14ac:dyDescent="0.5">
      <c r="A114" s="258"/>
      <c r="B114" s="487"/>
      <c r="C114" s="202"/>
      <c r="D114" s="202"/>
      <c r="E114" s="259"/>
      <c r="F114" s="259"/>
      <c r="G114" s="77"/>
      <c r="H114" s="77"/>
      <c r="I114" s="360"/>
      <c r="J114" s="360"/>
      <c r="K114" s="360"/>
      <c r="L114" s="360"/>
      <c r="M114" s="360"/>
      <c r="N114" s="287"/>
      <c r="O114" s="53"/>
      <c r="P114" s="287"/>
      <c r="Q114" s="53"/>
      <c r="R114" s="287"/>
      <c r="S114" s="242"/>
      <c r="T114" s="271"/>
      <c r="U114" s="198"/>
      <c r="AD114" s="266"/>
    </row>
    <row r="115" spans="1:30" s="265" customFormat="1" ht="32.25" customHeight="1" x14ac:dyDescent="0.5">
      <c r="A115" s="258"/>
      <c r="B115" s="487"/>
      <c r="C115" s="202"/>
      <c r="D115" s="202"/>
      <c r="E115" s="259"/>
      <c r="F115" s="259"/>
      <c r="G115" s="77"/>
      <c r="H115" s="77"/>
      <c r="I115" s="360"/>
      <c r="J115" s="360"/>
      <c r="K115" s="360"/>
      <c r="L115" s="360"/>
      <c r="M115" s="360"/>
      <c r="N115" s="287"/>
      <c r="O115" s="53"/>
      <c r="P115" s="287"/>
      <c r="Q115" s="53"/>
      <c r="R115" s="287"/>
      <c r="S115" s="146" t="s">
        <v>73</v>
      </c>
      <c r="T115" s="237"/>
      <c r="U115" s="198"/>
      <c r="AD115" s="266"/>
    </row>
    <row r="116" spans="1:30" s="265" customFormat="1" ht="32.25" customHeight="1" x14ac:dyDescent="0.5">
      <c r="A116" s="258"/>
      <c r="B116" s="487"/>
      <c r="C116" s="202"/>
      <c r="D116" s="202"/>
      <c r="E116" s="259"/>
      <c r="F116" s="259"/>
      <c r="G116" s="77"/>
      <c r="H116" s="77"/>
      <c r="I116" s="360"/>
      <c r="J116" s="360"/>
      <c r="K116" s="360"/>
      <c r="L116" s="360"/>
      <c r="M116" s="360"/>
      <c r="N116" s="287"/>
      <c r="O116" s="53"/>
      <c r="P116" s="287"/>
      <c r="Q116" s="53"/>
      <c r="R116" s="287"/>
      <c r="S116" s="207" t="s">
        <v>74</v>
      </c>
      <c r="T116" s="238"/>
      <c r="U116" s="198"/>
      <c r="AD116" s="266"/>
    </row>
    <row r="117" spans="1:30" s="265" customFormat="1" ht="32.25" customHeight="1" x14ac:dyDescent="0.5">
      <c r="A117" s="258"/>
      <c r="B117" s="487"/>
      <c r="C117" s="202"/>
      <c r="D117" s="202"/>
      <c r="E117" s="259"/>
      <c r="F117" s="259"/>
      <c r="G117" s="77"/>
      <c r="H117" s="77"/>
      <c r="I117" s="360"/>
      <c r="J117" s="360"/>
      <c r="K117" s="360"/>
      <c r="L117" s="360"/>
      <c r="M117" s="360"/>
      <c r="N117" s="287"/>
      <c r="O117" s="53"/>
      <c r="P117" s="287"/>
      <c r="Q117" s="53"/>
      <c r="R117" s="287"/>
      <c r="S117" s="207" t="s">
        <v>75</v>
      </c>
      <c r="T117" s="238"/>
      <c r="U117" s="198"/>
      <c r="AD117" s="266"/>
    </row>
    <row r="118" spans="1:30" s="265" customFormat="1" ht="32.25" customHeight="1" x14ac:dyDescent="0.5">
      <c r="A118" s="258"/>
      <c r="B118" s="487"/>
      <c r="C118" s="202"/>
      <c r="D118" s="202"/>
      <c r="E118" s="259"/>
      <c r="F118" s="259"/>
      <c r="G118" s="77"/>
      <c r="H118" s="77"/>
      <c r="I118" s="360"/>
      <c r="J118" s="360"/>
      <c r="K118" s="360"/>
      <c r="L118" s="360"/>
      <c r="M118" s="360"/>
      <c r="N118" s="287"/>
      <c r="O118" s="53"/>
      <c r="P118" s="287"/>
      <c r="Q118" s="53"/>
      <c r="R118" s="287"/>
      <c r="S118" s="208" t="s">
        <v>76</v>
      </c>
      <c r="T118" s="238"/>
      <c r="U118" s="198"/>
      <c r="AD118" s="266"/>
    </row>
    <row r="119" spans="1:30" s="265" customFormat="1" ht="32.25" customHeight="1" x14ac:dyDescent="0.5">
      <c r="A119" s="258"/>
      <c r="B119" s="487"/>
      <c r="C119" s="202"/>
      <c r="D119" s="202"/>
      <c r="E119" s="259"/>
      <c r="F119" s="259"/>
      <c r="G119" s="77"/>
      <c r="H119" s="77"/>
      <c r="I119" s="360"/>
      <c r="J119" s="360"/>
      <c r="K119" s="360"/>
      <c r="L119" s="360"/>
      <c r="M119" s="360"/>
      <c r="N119" s="287"/>
      <c r="O119" s="53"/>
      <c r="P119" s="287"/>
      <c r="Q119" s="53"/>
      <c r="R119" s="287"/>
      <c r="S119" s="209" t="s">
        <v>77</v>
      </c>
      <c r="T119" s="238"/>
      <c r="U119" s="198"/>
      <c r="AD119" s="266"/>
    </row>
    <row r="120" spans="1:30" s="265" customFormat="1" ht="32.25" customHeight="1" x14ac:dyDescent="0.5">
      <c r="A120" s="258"/>
      <c r="B120" s="487"/>
      <c r="C120" s="202"/>
      <c r="D120" s="202"/>
      <c r="E120" s="259"/>
      <c r="F120" s="259"/>
      <c r="G120" s="77"/>
      <c r="H120" s="77"/>
      <c r="I120" s="360"/>
      <c r="J120" s="360"/>
      <c r="K120" s="360"/>
      <c r="L120" s="360"/>
      <c r="M120" s="360"/>
      <c r="N120" s="287"/>
      <c r="O120" s="53"/>
      <c r="P120" s="287"/>
      <c r="Q120" s="53"/>
      <c r="R120" s="287"/>
      <c r="S120" s="209" t="s">
        <v>78</v>
      </c>
      <c r="T120" s="238"/>
      <c r="U120" s="198"/>
      <c r="AD120" s="266"/>
    </row>
    <row r="121" spans="1:30" s="265" customFormat="1" ht="32.25" customHeight="1" x14ac:dyDescent="0.5">
      <c r="A121" s="258"/>
      <c r="B121" s="487"/>
      <c r="C121" s="202"/>
      <c r="D121" s="202"/>
      <c r="E121" s="259"/>
      <c r="F121" s="259"/>
      <c r="G121" s="77"/>
      <c r="H121" s="77"/>
      <c r="I121" s="360"/>
      <c r="J121" s="360"/>
      <c r="K121" s="360"/>
      <c r="L121" s="360"/>
      <c r="M121" s="360"/>
      <c r="N121" s="287"/>
      <c r="O121" s="53"/>
      <c r="P121" s="287"/>
      <c r="Q121" s="53"/>
      <c r="R121" s="287"/>
      <c r="S121" s="208" t="s">
        <v>168</v>
      </c>
      <c r="T121" s="239"/>
      <c r="U121" s="198"/>
      <c r="AD121" s="266"/>
    </row>
    <row r="122" spans="1:30" s="265" customFormat="1" ht="32.25" customHeight="1" x14ac:dyDescent="0.5">
      <c r="A122" s="258"/>
      <c r="B122" s="487"/>
      <c r="C122" s="202"/>
      <c r="D122" s="202"/>
      <c r="E122" s="259"/>
      <c r="F122" s="259"/>
      <c r="G122" s="77"/>
      <c r="H122" s="77"/>
      <c r="I122" s="360"/>
      <c r="J122" s="360"/>
      <c r="K122" s="360"/>
      <c r="L122" s="360"/>
      <c r="M122" s="360"/>
      <c r="N122" s="287"/>
      <c r="O122" s="53"/>
      <c r="P122" s="287"/>
      <c r="Q122" s="53"/>
      <c r="R122" s="287"/>
      <c r="S122" s="210" t="s">
        <v>169</v>
      </c>
      <c r="T122" s="239"/>
      <c r="U122" s="198"/>
      <c r="AD122" s="266"/>
    </row>
    <row r="123" spans="1:30" s="265" customFormat="1" ht="32.25" customHeight="1" x14ac:dyDescent="0.5">
      <c r="A123" s="258"/>
      <c r="B123" s="487"/>
      <c r="C123" s="202"/>
      <c r="D123" s="202"/>
      <c r="E123" s="259"/>
      <c r="F123" s="259"/>
      <c r="G123" s="77"/>
      <c r="H123" s="77"/>
      <c r="I123" s="360"/>
      <c r="J123" s="360"/>
      <c r="K123" s="360"/>
      <c r="L123" s="360"/>
      <c r="M123" s="360"/>
      <c r="N123" s="287"/>
      <c r="O123" s="53"/>
      <c r="P123" s="287"/>
      <c r="Q123" s="53"/>
      <c r="R123" s="287"/>
      <c r="S123" s="210" t="s">
        <v>170</v>
      </c>
      <c r="T123" s="239"/>
      <c r="U123" s="198"/>
      <c r="AD123" s="266"/>
    </row>
    <row r="124" spans="1:30" s="265" customFormat="1" ht="32.25" customHeight="1" x14ac:dyDescent="0.5">
      <c r="A124" s="258"/>
      <c r="B124" s="487"/>
      <c r="C124" s="202"/>
      <c r="D124" s="202"/>
      <c r="E124" s="259"/>
      <c r="F124" s="259"/>
      <c r="G124" s="77"/>
      <c r="H124" s="77"/>
      <c r="I124" s="360"/>
      <c r="J124" s="360"/>
      <c r="K124" s="360"/>
      <c r="L124" s="360"/>
      <c r="M124" s="360"/>
      <c r="N124" s="287"/>
      <c r="O124" s="53"/>
      <c r="P124" s="287"/>
      <c r="Q124" s="53"/>
      <c r="R124" s="287"/>
      <c r="S124" s="210" t="s">
        <v>171</v>
      </c>
      <c r="T124" s="239"/>
      <c r="U124" s="198"/>
      <c r="AD124" s="266"/>
    </row>
    <row r="125" spans="1:30" s="265" customFormat="1" ht="32.25" customHeight="1" x14ac:dyDescent="0.5">
      <c r="A125" s="258"/>
      <c r="B125" s="487"/>
      <c r="C125" s="202"/>
      <c r="D125" s="202"/>
      <c r="E125" s="259"/>
      <c r="F125" s="259"/>
      <c r="G125" s="77"/>
      <c r="H125" s="77"/>
      <c r="I125" s="360"/>
      <c r="J125" s="360"/>
      <c r="K125" s="360"/>
      <c r="L125" s="360"/>
      <c r="M125" s="360"/>
      <c r="N125" s="287"/>
      <c r="O125" s="53"/>
      <c r="P125" s="287"/>
      <c r="Q125" s="53"/>
      <c r="R125" s="287"/>
      <c r="S125" s="211" t="s">
        <v>175</v>
      </c>
      <c r="T125" s="240"/>
      <c r="U125" s="198"/>
      <c r="AD125" s="266"/>
    </row>
    <row r="126" spans="1:30" s="265" customFormat="1" ht="32.25" customHeight="1" x14ac:dyDescent="0.5">
      <c r="A126" s="258"/>
      <c r="B126" s="487"/>
      <c r="C126" s="202"/>
      <c r="D126" s="202"/>
      <c r="E126" s="259"/>
      <c r="F126" s="259"/>
      <c r="G126" s="77"/>
      <c r="H126" s="77"/>
      <c r="I126" s="360"/>
      <c r="J126" s="360"/>
      <c r="K126" s="360"/>
      <c r="L126" s="360"/>
      <c r="M126" s="360"/>
      <c r="N126" s="287"/>
      <c r="O126" s="53"/>
      <c r="P126" s="287"/>
      <c r="Q126" s="53"/>
      <c r="R126" s="287"/>
      <c r="S126" s="208" t="s">
        <v>176</v>
      </c>
      <c r="T126" s="240"/>
      <c r="U126" s="198"/>
      <c r="AD126" s="266"/>
    </row>
    <row r="127" spans="1:30" s="265" customFormat="1" ht="32.25" customHeight="1" x14ac:dyDescent="0.5">
      <c r="A127" s="258"/>
      <c r="B127" s="487"/>
      <c r="C127" s="202"/>
      <c r="D127" s="202"/>
      <c r="E127" s="259"/>
      <c r="F127" s="259"/>
      <c r="G127" s="77"/>
      <c r="H127" s="77"/>
      <c r="I127" s="360"/>
      <c r="J127" s="360"/>
      <c r="K127" s="360"/>
      <c r="L127" s="360"/>
      <c r="M127" s="360"/>
      <c r="N127" s="287"/>
      <c r="O127" s="53"/>
      <c r="P127" s="287"/>
      <c r="Q127" s="53"/>
      <c r="R127" s="287"/>
      <c r="S127" s="242"/>
      <c r="T127" s="271"/>
      <c r="U127" s="198"/>
      <c r="AD127" s="266"/>
    </row>
    <row r="128" spans="1:30" s="265" customFormat="1" ht="32.25" customHeight="1" x14ac:dyDescent="0.5">
      <c r="A128" s="258"/>
      <c r="B128" s="487"/>
      <c r="C128" s="202"/>
      <c r="D128" s="202"/>
      <c r="E128" s="259"/>
      <c r="F128" s="259"/>
      <c r="G128" s="77"/>
      <c r="H128" s="77"/>
      <c r="I128" s="360"/>
      <c r="J128" s="360"/>
      <c r="K128" s="360"/>
      <c r="L128" s="360"/>
      <c r="M128" s="360"/>
      <c r="N128" s="287"/>
      <c r="O128" s="53"/>
      <c r="P128" s="287"/>
      <c r="Q128" s="53"/>
      <c r="R128" s="287"/>
      <c r="S128" s="146" t="s">
        <v>142</v>
      </c>
      <c r="T128" s="230"/>
      <c r="U128" s="198"/>
      <c r="AD128" s="266"/>
    </row>
    <row r="129" spans="1:30" s="265" customFormat="1" ht="32.25" customHeight="1" x14ac:dyDescent="0.5">
      <c r="A129" s="258"/>
      <c r="B129" s="487"/>
      <c r="C129" s="202"/>
      <c r="D129" s="202"/>
      <c r="E129" s="259"/>
      <c r="F129" s="259"/>
      <c r="G129" s="77"/>
      <c r="H129" s="77"/>
      <c r="I129" s="360"/>
      <c r="J129" s="360"/>
      <c r="K129" s="360"/>
      <c r="L129" s="360"/>
      <c r="M129" s="360"/>
      <c r="N129" s="287"/>
      <c r="O129" s="53"/>
      <c r="P129" s="287"/>
      <c r="Q129" s="53"/>
      <c r="R129" s="287"/>
      <c r="S129" s="9" t="s">
        <v>98</v>
      </c>
      <c r="T129" s="269"/>
      <c r="U129" s="198"/>
      <c r="AD129" s="266"/>
    </row>
    <row r="130" spans="1:30" s="265" customFormat="1" ht="32.25" customHeight="1" x14ac:dyDescent="0.5">
      <c r="A130" s="258"/>
      <c r="B130" s="487"/>
      <c r="C130" s="202"/>
      <c r="D130" s="202"/>
      <c r="E130" s="259"/>
      <c r="F130" s="259"/>
      <c r="G130" s="77"/>
      <c r="H130" s="77"/>
      <c r="I130" s="360"/>
      <c r="J130" s="360"/>
      <c r="K130" s="360"/>
      <c r="L130" s="360"/>
      <c r="M130" s="360"/>
      <c r="N130" s="287"/>
      <c r="O130" s="53"/>
      <c r="P130" s="287"/>
      <c r="Q130" s="53"/>
      <c r="R130" s="287"/>
      <c r="S130" s="9" t="s">
        <v>99</v>
      </c>
      <c r="T130" s="269"/>
      <c r="U130" s="198"/>
      <c r="AD130" s="266"/>
    </row>
    <row r="131" spans="1:30" s="265" customFormat="1" ht="32.25" customHeight="1" x14ac:dyDescent="0.5">
      <c r="A131" s="258"/>
      <c r="B131" s="487"/>
      <c r="C131" s="202"/>
      <c r="D131" s="202"/>
      <c r="E131" s="259"/>
      <c r="F131" s="259"/>
      <c r="G131" s="77"/>
      <c r="H131" s="77"/>
      <c r="I131" s="360"/>
      <c r="J131" s="360"/>
      <c r="K131" s="360"/>
      <c r="L131" s="360"/>
      <c r="M131" s="360"/>
      <c r="N131" s="287"/>
      <c r="O131" s="53"/>
      <c r="P131" s="287"/>
      <c r="Q131" s="53"/>
      <c r="R131" s="287"/>
      <c r="S131" s="272" t="s">
        <v>110</v>
      </c>
      <c r="T131" s="269"/>
      <c r="U131" s="198"/>
      <c r="AD131" s="266"/>
    </row>
    <row r="132" spans="1:30" s="265" customFormat="1" ht="32.25" customHeight="1" x14ac:dyDescent="0.5">
      <c r="A132" s="258"/>
      <c r="B132" s="487"/>
      <c r="C132" s="202"/>
      <c r="D132" s="202"/>
      <c r="E132" s="259"/>
      <c r="F132" s="259"/>
      <c r="G132" s="77"/>
      <c r="H132" s="77"/>
      <c r="I132" s="360"/>
      <c r="J132" s="360"/>
      <c r="K132" s="360"/>
      <c r="L132" s="360"/>
      <c r="M132" s="360"/>
      <c r="N132" s="287"/>
      <c r="O132" s="53"/>
      <c r="P132" s="287"/>
      <c r="Q132" s="53"/>
      <c r="R132" s="287"/>
      <c r="S132" s="9" t="s">
        <v>100</v>
      </c>
      <c r="T132" s="273"/>
      <c r="U132" s="198"/>
      <c r="AD132" s="266"/>
    </row>
    <row r="133" spans="1:30" s="265" customFormat="1" ht="32.25" customHeight="1" x14ac:dyDescent="0.5">
      <c r="A133" s="258"/>
      <c r="B133" s="487"/>
      <c r="C133" s="202"/>
      <c r="D133" s="202"/>
      <c r="E133" s="259"/>
      <c r="F133" s="259"/>
      <c r="G133" s="77"/>
      <c r="H133" s="77"/>
      <c r="I133" s="360"/>
      <c r="J133" s="360"/>
      <c r="K133" s="360"/>
      <c r="L133" s="360"/>
      <c r="M133" s="360"/>
      <c r="N133" s="287"/>
      <c r="O133" s="53"/>
      <c r="P133" s="287"/>
      <c r="Q133" s="53"/>
      <c r="R133" s="287"/>
      <c r="S133" s="146" t="s">
        <v>111</v>
      </c>
      <c r="T133" s="273"/>
      <c r="U133" s="198"/>
      <c r="AD133" s="266"/>
    </row>
    <row r="134" spans="1:30" s="265" customFormat="1" ht="32.25" customHeight="1" x14ac:dyDescent="0.5">
      <c r="A134" s="258"/>
      <c r="B134" s="487"/>
      <c r="C134" s="202"/>
      <c r="D134" s="202"/>
      <c r="E134" s="259"/>
      <c r="F134" s="259"/>
      <c r="G134" s="77"/>
      <c r="H134" s="77"/>
      <c r="I134" s="360"/>
      <c r="J134" s="360"/>
      <c r="K134" s="360"/>
      <c r="L134" s="360"/>
      <c r="M134" s="360"/>
      <c r="N134" s="287"/>
      <c r="O134" s="53"/>
      <c r="P134" s="287"/>
      <c r="Q134" s="53"/>
      <c r="R134" s="287"/>
      <c r="S134" s="242"/>
      <c r="T134" s="271"/>
      <c r="U134" s="198"/>
      <c r="AD134" s="266"/>
    </row>
    <row r="135" spans="1:30" s="265" customFormat="1" ht="32.25" customHeight="1" x14ac:dyDescent="0.5">
      <c r="A135" s="258"/>
      <c r="B135" s="487"/>
      <c r="C135" s="202"/>
      <c r="D135" s="202"/>
      <c r="E135" s="259"/>
      <c r="F135" s="259"/>
      <c r="G135" s="77"/>
      <c r="H135" s="77"/>
      <c r="I135" s="360"/>
      <c r="J135" s="360"/>
      <c r="K135" s="360"/>
      <c r="L135" s="360"/>
      <c r="M135" s="360"/>
      <c r="N135" s="287"/>
      <c r="O135" s="53"/>
      <c r="P135" s="287"/>
      <c r="Q135" s="53"/>
      <c r="R135" s="287"/>
      <c r="S135" s="146" t="s">
        <v>191</v>
      </c>
      <c r="T135" s="274" t="s">
        <v>190</v>
      </c>
      <c r="U135" s="198"/>
      <c r="AD135" s="266"/>
    </row>
    <row r="136" spans="1:30" s="265" customFormat="1" ht="32.25" customHeight="1" x14ac:dyDescent="0.5">
      <c r="A136" s="258"/>
      <c r="B136" s="487"/>
      <c r="C136" s="202"/>
      <c r="D136" s="202"/>
      <c r="E136" s="259"/>
      <c r="F136" s="259"/>
      <c r="G136" s="77"/>
      <c r="H136" s="77"/>
      <c r="I136" s="360"/>
      <c r="J136" s="360"/>
      <c r="K136" s="360"/>
      <c r="L136" s="360"/>
      <c r="M136" s="360"/>
      <c r="N136" s="287"/>
      <c r="O136" s="53"/>
      <c r="P136" s="287"/>
      <c r="Q136" s="53"/>
      <c r="R136" s="287"/>
      <c r="S136" s="146" t="s">
        <v>197</v>
      </c>
      <c r="T136" s="274" t="s">
        <v>190</v>
      </c>
      <c r="U136" s="198"/>
      <c r="AD136" s="266"/>
    </row>
    <row r="137" spans="1:30" s="265" customFormat="1" ht="32.25" customHeight="1" x14ac:dyDescent="0.5">
      <c r="A137" s="258"/>
      <c r="B137" s="487"/>
      <c r="C137" s="202"/>
      <c r="D137" s="202"/>
      <c r="E137" s="259"/>
      <c r="F137" s="259"/>
      <c r="G137" s="77"/>
      <c r="H137" s="77"/>
      <c r="I137" s="360"/>
      <c r="J137" s="360"/>
      <c r="K137" s="360"/>
      <c r="L137" s="360"/>
      <c r="M137" s="360"/>
      <c r="N137" s="287"/>
      <c r="O137" s="53"/>
      <c r="P137" s="287"/>
      <c r="Q137" s="53"/>
      <c r="R137" s="287"/>
      <c r="S137" s="146"/>
      <c r="T137" s="275"/>
      <c r="U137" s="198"/>
      <c r="AD137" s="266"/>
    </row>
    <row r="138" spans="1:30" s="265" customFormat="1" ht="32.25" customHeight="1" x14ac:dyDescent="0.5">
      <c r="A138" s="258"/>
      <c r="B138" s="487"/>
      <c r="C138" s="202"/>
      <c r="D138" s="202"/>
      <c r="E138" s="259"/>
      <c r="F138" s="259"/>
      <c r="G138" s="77"/>
      <c r="H138" s="77"/>
      <c r="I138" s="360"/>
      <c r="J138" s="360"/>
      <c r="K138" s="360"/>
      <c r="L138" s="360"/>
      <c r="M138" s="360"/>
      <c r="N138" s="287"/>
      <c r="O138" s="53"/>
      <c r="P138" s="287"/>
      <c r="Q138" s="53"/>
      <c r="R138" s="287"/>
      <c r="S138" s="146" t="s">
        <v>318</v>
      </c>
      <c r="T138" s="147"/>
      <c r="U138" s="198"/>
      <c r="AD138" s="266"/>
    </row>
    <row r="139" spans="1:30" s="265" customFormat="1" ht="32.25" customHeight="1" x14ac:dyDescent="0.5">
      <c r="A139" s="258"/>
      <c r="B139" s="487"/>
      <c r="C139" s="202"/>
      <c r="D139" s="202"/>
      <c r="E139" s="259"/>
      <c r="F139" s="259"/>
      <c r="G139" s="77"/>
      <c r="H139" s="77"/>
      <c r="I139" s="360"/>
      <c r="J139" s="360"/>
      <c r="K139" s="360"/>
      <c r="L139" s="360"/>
      <c r="M139" s="360"/>
      <c r="N139" s="287"/>
      <c r="O139" s="53"/>
      <c r="P139" s="287"/>
      <c r="Q139" s="53"/>
      <c r="R139" s="287"/>
      <c r="S139" s="242"/>
      <c r="T139" s="271"/>
      <c r="U139" s="198"/>
      <c r="AD139" s="266"/>
    </row>
    <row r="140" spans="1:30" s="265" customFormat="1" ht="32.25" customHeight="1" x14ac:dyDescent="0.5">
      <c r="A140" s="258"/>
      <c r="B140" s="487"/>
      <c r="C140" s="202"/>
      <c r="D140" s="202"/>
      <c r="E140" s="276"/>
      <c r="F140" s="276"/>
      <c r="G140" s="59"/>
      <c r="H140" s="59"/>
      <c r="I140" s="369"/>
      <c r="J140" s="369"/>
      <c r="K140" s="369"/>
      <c r="L140" s="369"/>
      <c r="M140" s="369"/>
      <c r="N140" s="369"/>
      <c r="O140" s="14"/>
      <c r="P140" s="286"/>
      <c r="Q140" s="14"/>
      <c r="R140" s="286"/>
      <c r="S140" s="216" t="s">
        <v>0</v>
      </c>
      <c r="T140" s="217">
        <f xml:space="preserve"> SUM(H111:H141)-SUM($G111:$G141)</f>
        <v>4.1666666666666741E-2</v>
      </c>
      <c r="AD140" s="266"/>
    </row>
    <row r="141" spans="1:30" s="265" customFormat="1" ht="32.25" customHeight="1" thickBot="1" x14ac:dyDescent="0.55000000000000004">
      <c r="A141" s="263"/>
      <c r="B141" s="488"/>
      <c r="C141" s="220"/>
      <c r="D141" s="220"/>
      <c r="E141" s="221"/>
      <c r="F141" s="221"/>
      <c r="G141" s="63"/>
      <c r="H141" s="63"/>
      <c r="I141" s="362"/>
      <c r="J141" s="362"/>
      <c r="K141" s="362"/>
      <c r="L141" s="362"/>
      <c r="M141" s="362"/>
      <c r="N141" s="362"/>
      <c r="O141" s="64"/>
      <c r="P141" s="289"/>
      <c r="Q141" s="64"/>
      <c r="R141" s="289"/>
      <c r="S141" s="222" t="s">
        <v>4</v>
      </c>
      <c r="T141" s="223">
        <f xml:space="preserve"> SUM(M111:M141)-SUM($J111:$J141)</f>
        <v>5.4861111111111138E-2</v>
      </c>
      <c r="AD141" s="266"/>
    </row>
    <row r="142" spans="1:30" s="265" customFormat="1" ht="32.25" customHeight="1" x14ac:dyDescent="0.5">
      <c r="A142" s="254" t="s">
        <v>136</v>
      </c>
      <c r="B142" s="489" t="s">
        <v>1</v>
      </c>
      <c r="C142" s="194"/>
      <c r="D142" s="194"/>
      <c r="E142" s="255"/>
      <c r="F142" s="255"/>
      <c r="G142" s="74"/>
      <c r="H142" s="74"/>
      <c r="I142" s="359"/>
      <c r="J142" s="359"/>
      <c r="K142" s="359"/>
      <c r="L142" s="359"/>
      <c r="M142" s="359"/>
      <c r="N142" s="381"/>
      <c r="O142" s="48"/>
      <c r="P142" s="381"/>
      <c r="Q142" s="48"/>
      <c r="R142" s="381"/>
      <c r="S142" s="256"/>
      <c r="T142" s="257"/>
      <c r="U142" s="198"/>
      <c r="AD142" s="266"/>
    </row>
    <row r="143" spans="1:30" s="265" customFormat="1" ht="32.25" customHeight="1" x14ac:dyDescent="0.5">
      <c r="A143" s="258" t="s">
        <v>16</v>
      </c>
      <c r="B143" s="487"/>
      <c r="C143" s="232" t="s">
        <v>52</v>
      </c>
      <c r="D143" s="233" t="s">
        <v>43</v>
      </c>
      <c r="E143" s="47" t="s">
        <v>35</v>
      </c>
      <c r="F143" s="47" t="s">
        <v>37</v>
      </c>
      <c r="G143" s="110">
        <v>0.375</v>
      </c>
      <c r="H143" s="110">
        <f>G143+105*"0:1:0"</f>
        <v>0.44791666666666669</v>
      </c>
      <c r="I143" s="366">
        <v>0.34583333333333333</v>
      </c>
      <c r="J143" s="366">
        <v>0.34791666666666665</v>
      </c>
      <c r="K143" s="366">
        <v>0.35208333333333336</v>
      </c>
      <c r="L143" s="366">
        <v>0.41458333333333336</v>
      </c>
      <c r="M143" s="366">
        <v>0.41666666666666669</v>
      </c>
      <c r="N143" s="365">
        <f t="shared" ref="N143:N144" si="3">SUM(M143-J143)</f>
        <v>6.8750000000000033E-2</v>
      </c>
      <c r="O143" s="45" t="s">
        <v>48</v>
      </c>
      <c r="P143" s="106" t="s">
        <v>48</v>
      </c>
      <c r="Q143" s="45">
        <v>1400</v>
      </c>
      <c r="R143" s="106">
        <v>1370</v>
      </c>
      <c r="S143" s="235" t="s">
        <v>270</v>
      </c>
      <c r="T143" s="236"/>
      <c r="U143" s="198"/>
      <c r="AD143" s="266"/>
    </row>
    <row r="144" spans="1:30" s="265" customFormat="1" ht="32.25" customHeight="1" x14ac:dyDescent="0.5">
      <c r="A144" s="277" t="s">
        <v>160</v>
      </c>
      <c r="B144" s="487"/>
      <c r="C144" s="232"/>
      <c r="D144" s="233"/>
      <c r="E144" s="47" t="s">
        <v>37</v>
      </c>
      <c r="F144" s="47" t="s">
        <v>35</v>
      </c>
      <c r="G144" s="110">
        <f>H143+45*"0:1:0"</f>
        <v>0.47916666666666669</v>
      </c>
      <c r="H144" s="110">
        <f>G144+105*"0:1:0"</f>
        <v>0.55208333333333337</v>
      </c>
      <c r="I144" s="366">
        <v>0.43055555555555558</v>
      </c>
      <c r="J144" s="366">
        <v>0.43194444444444446</v>
      </c>
      <c r="K144" s="366">
        <v>0.43402777777777779</v>
      </c>
      <c r="L144" s="366">
        <v>0.5</v>
      </c>
      <c r="M144" s="366">
        <v>0.50208333333333333</v>
      </c>
      <c r="N144" s="365">
        <f t="shared" si="3"/>
        <v>7.0138888888888862E-2</v>
      </c>
      <c r="O144" s="45" t="s">
        <v>48</v>
      </c>
      <c r="P144" s="106" t="s">
        <v>48</v>
      </c>
      <c r="Q144" s="45">
        <v>100</v>
      </c>
      <c r="R144" s="45">
        <v>162</v>
      </c>
      <c r="S144" s="235" t="s">
        <v>319</v>
      </c>
      <c r="T144" s="236"/>
      <c r="U144" s="198"/>
      <c r="AD144" s="266"/>
    </row>
    <row r="145" spans="1:30" s="265" customFormat="1" ht="32.25" customHeight="1" x14ac:dyDescent="0.5">
      <c r="A145" s="277"/>
      <c r="B145" s="487"/>
      <c r="C145" s="278"/>
      <c r="D145" s="279"/>
      <c r="E145" s="259"/>
      <c r="F145" s="259"/>
      <c r="G145" s="77"/>
      <c r="H145" s="77"/>
      <c r="I145" s="360"/>
      <c r="J145" s="360"/>
      <c r="K145" s="360"/>
      <c r="L145" s="360"/>
      <c r="M145" s="360"/>
      <c r="N145" s="287"/>
      <c r="O145" s="53"/>
      <c r="P145" s="287"/>
      <c r="Q145" s="53"/>
      <c r="R145" s="287"/>
      <c r="S145" s="280"/>
      <c r="T145" s="260"/>
      <c r="U145" s="198"/>
      <c r="AD145" s="266"/>
    </row>
    <row r="146" spans="1:30" s="265" customFormat="1" ht="32.25" customHeight="1" x14ac:dyDescent="0.5">
      <c r="A146" s="277"/>
      <c r="B146" s="487"/>
      <c r="C146" s="278"/>
      <c r="D146" s="279"/>
      <c r="E146" s="259"/>
      <c r="F146" s="259"/>
      <c r="G146" s="77"/>
      <c r="H146" s="77"/>
      <c r="I146" s="360"/>
      <c r="J146" s="360"/>
      <c r="K146" s="360"/>
      <c r="L146" s="360"/>
      <c r="M146" s="360"/>
      <c r="N146" s="287"/>
      <c r="O146" s="53"/>
      <c r="P146" s="287"/>
      <c r="Q146" s="53"/>
      <c r="R146" s="287"/>
      <c r="S146" s="146" t="s">
        <v>73</v>
      </c>
      <c r="T146" s="237"/>
      <c r="U146" s="198"/>
      <c r="AD146" s="266"/>
    </row>
    <row r="147" spans="1:30" s="265" customFormat="1" ht="32.25" customHeight="1" x14ac:dyDescent="0.5">
      <c r="A147" s="277"/>
      <c r="B147" s="487"/>
      <c r="C147" s="278"/>
      <c r="D147" s="279"/>
      <c r="E147" s="259"/>
      <c r="F147" s="259"/>
      <c r="G147" s="77"/>
      <c r="H147" s="77"/>
      <c r="I147" s="360"/>
      <c r="J147" s="360"/>
      <c r="K147" s="360"/>
      <c r="L147" s="360"/>
      <c r="M147" s="360"/>
      <c r="N147" s="287"/>
      <c r="O147" s="53"/>
      <c r="P147" s="287"/>
      <c r="Q147" s="53"/>
      <c r="R147" s="287"/>
      <c r="S147" s="207" t="s">
        <v>74</v>
      </c>
      <c r="T147" s="238"/>
      <c r="U147" s="198"/>
      <c r="AD147" s="266"/>
    </row>
    <row r="148" spans="1:30" s="265" customFormat="1" ht="32.25" customHeight="1" x14ac:dyDescent="0.5">
      <c r="A148" s="277"/>
      <c r="B148" s="487"/>
      <c r="C148" s="278"/>
      <c r="D148" s="279"/>
      <c r="E148" s="259"/>
      <c r="F148" s="259"/>
      <c r="G148" s="77"/>
      <c r="H148" s="77"/>
      <c r="I148" s="360"/>
      <c r="J148" s="360"/>
      <c r="K148" s="360"/>
      <c r="L148" s="360"/>
      <c r="M148" s="360"/>
      <c r="N148" s="287"/>
      <c r="O148" s="53"/>
      <c r="P148" s="287"/>
      <c r="Q148" s="53"/>
      <c r="R148" s="287"/>
      <c r="S148" s="207" t="s">
        <v>75</v>
      </c>
      <c r="T148" s="238"/>
      <c r="U148" s="198"/>
      <c r="AD148" s="266"/>
    </row>
    <row r="149" spans="1:30" s="265" customFormat="1" ht="32.25" customHeight="1" x14ac:dyDescent="0.5">
      <c r="A149" s="277"/>
      <c r="B149" s="487"/>
      <c r="C149" s="278"/>
      <c r="D149" s="279"/>
      <c r="E149" s="259"/>
      <c r="F149" s="259"/>
      <c r="G149" s="77"/>
      <c r="H149" s="77"/>
      <c r="I149" s="360"/>
      <c r="J149" s="360"/>
      <c r="K149" s="360"/>
      <c r="L149" s="360"/>
      <c r="M149" s="360"/>
      <c r="N149" s="287"/>
      <c r="O149" s="53"/>
      <c r="P149" s="287"/>
      <c r="Q149" s="53"/>
      <c r="R149" s="287"/>
      <c r="S149" s="208" t="s">
        <v>76</v>
      </c>
      <c r="T149" s="238"/>
      <c r="U149" s="198"/>
      <c r="AD149" s="266"/>
    </row>
    <row r="150" spans="1:30" s="265" customFormat="1" ht="32.25" customHeight="1" x14ac:dyDescent="0.5">
      <c r="A150" s="277"/>
      <c r="B150" s="487"/>
      <c r="C150" s="278"/>
      <c r="D150" s="279"/>
      <c r="E150" s="259"/>
      <c r="F150" s="259"/>
      <c r="G150" s="77"/>
      <c r="H150" s="77"/>
      <c r="I150" s="360"/>
      <c r="J150" s="360"/>
      <c r="K150" s="360"/>
      <c r="L150" s="360"/>
      <c r="M150" s="360"/>
      <c r="N150" s="287"/>
      <c r="O150" s="53"/>
      <c r="P150" s="287"/>
      <c r="Q150" s="53"/>
      <c r="R150" s="287"/>
      <c r="S150" s="209" t="s">
        <v>77</v>
      </c>
      <c r="T150" s="238"/>
      <c r="U150" s="198"/>
      <c r="AD150" s="266"/>
    </row>
    <row r="151" spans="1:30" s="265" customFormat="1" ht="32.25" customHeight="1" x14ac:dyDescent="0.5">
      <c r="A151" s="277"/>
      <c r="B151" s="487"/>
      <c r="C151" s="278"/>
      <c r="D151" s="279"/>
      <c r="E151" s="259"/>
      <c r="F151" s="259"/>
      <c r="G151" s="77"/>
      <c r="H151" s="77"/>
      <c r="I151" s="360"/>
      <c r="J151" s="360"/>
      <c r="K151" s="360"/>
      <c r="L151" s="360"/>
      <c r="M151" s="360"/>
      <c r="N151" s="287"/>
      <c r="O151" s="53"/>
      <c r="P151" s="287"/>
      <c r="Q151" s="53"/>
      <c r="R151" s="287"/>
      <c r="S151" s="209" t="s">
        <v>78</v>
      </c>
      <c r="T151" s="238"/>
      <c r="U151" s="198"/>
      <c r="AD151" s="266"/>
    </row>
    <row r="152" spans="1:30" s="265" customFormat="1" ht="32.25" customHeight="1" x14ac:dyDescent="0.5">
      <c r="A152" s="277"/>
      <c r="B152" s="487"/>
      <c r="C152" s="278"/>
      <c r="D152" s="279"/>
      <c r="E152" s="259"/>
      <c r="F152" s="259"/>
      <c r="G152" s="77"/>
      <c r="H152" s="77"/>
      <c r="I152" s="360"/>
      <c r="J152" s="360"/>
      <c r="K152" s="360"/>
      <c r="L152" s="360"/>
      <c r="M152" s="360"/>
      <c r="N152" s="287"/>
      <c r="O152" s="53"/>
      <c r="P152" s="287"/>
      <c r="Q152" s="53"/>
      <c r="R152" s="287"/>
      <c r="S152" s="208" t="s">
        <v>168</v>
      </c>
      <c r="T152" s="239"/>
      <c r="U152" s="198"/>
      <c r="AD152" s="266"/>
    </row>
    <row r="153" spans="1:30" s="265" customFormat="1" ht="32.25" customHeight="1" x14ac:dyDescent="0.5">
      <c r="A153" s="277"/>
      <c r="B153" s="487"/>
      <c r="C153" s="278"/>
      <c r="D153" s="279"/>
      <c r="E153" s="259"/>
      <c r="F153" s="259"/>
      <c r="G153" s="77"/>
      <c r="H153" s="77"/>
      <c r="I153" s="360"/>
      <c r="J153" s="360"/>
      <c r="K153" s="360"/>
      <c r="L153" s="360"/>
      <c r="M153" s="360"/>
      <c r="N153" s="287"/>
      <c r="O153" s="53"/>
      <c r="P153" s="287"/>
      <c r="Q153" s="53"/>
      <c r="R153" s="287"/>
      <c r="S153" s="210" t="s">
        <v>169</v>
      </c>
      <c r="T153" s="239"/>
      <c r="U153" s="198"/>
      <c r="AD153" s="266"/>
    </row>
    <row r="154" spans="1:30" s="265" customFormat="1" ht="32.25" customHeight="1" x14ac:dyDescent="0.5">
      <c r="A154" s="277"/>
      <c r="B154" s="487"/>
      <c r="C154" s="278"/>
      <c r="D154" s="279"/>
      <c r="E154" s="259"/>
      <c r="F154" s="259"/>
      <c r="G154" s="77"/>
      <c r="H154" s="77"/>
      <c r="I154" s="360"/>
      <c r="J154" s="360"/>
      <c r="K154" s="360"/>
      <c r="L154" s="360"/>
      <c r="M154" s="360"/>
      <c r="N154" s="287"/>
      <c r="O154" s="53"/>
      <c r="P154" s="287"/>
      <c r="Q154" s="53"/>
      <c r="R154" s="287"/>
      <c r="S154" s="210" t="s">
        <v>170</v>
      </c>
      <c r="T154" s="239"/>
      <c r="U154" s="198"/>
      <c r="AD154" s="266"/>
    </row>
    <row r="155" spans="1:30" s="265" customFormat="1" ht="32.25" customHeight="1" x14ac:dyDescent="0.5">
      <c r="A155" s="277"/>
      <c r="B155" s="487"/>
      <c r="C155" s="278"/>
      <c r="D155" s="279"/>
      <c r="E155" s="259"/>
      <c r="F155" s="259"/>
      <c r="G155" s="77"/>
      <c r="H155" s="77"/>
      <c r="I155" s="360"/>
      <c r="J155" s="360"/>
      <c r="K155" s="360"/>
      <c r="L155" s="360"/>
      <c r="M155" s="360"/>
      <c r="N155" s="287"/>
      <c r="O155" s="53"/>
      <c r="P155" s="287"/>
      <c r="Q155" s="53"/>
      <c r="R155" s="287"/>
      <c r="S155" s="210" t="s">
        <v>171</v>
      </c>
      <c r="T155" s="239"/>
      <c r="U155" s="198"/>
      <c r="AD155" s="266"/>
    </row>
    <row r="156" spans="1:30" s="265" customFormat="1" ht="32.25" customHeight="1" x14ac:dyDescent="0.5">
      <c r="A156" s="277"/>
      <c r="B156" s="487"/>
      <c r="C156" s="278"/>
      <c r="D156" s="279"/>
      <c r="E156" s="259"/>
      <c r="F156" s="259"/>
      <c r="G156" s="77"/>
      <c r="H156" s="77"/>
      <c r="I156" s="360"/>
      <c r="J156" s="360"/>
      <c r="K156" s="360"/>
      <c r="L156" s="360"/>
      <c r="M156" s="360"/>
      <c r="N156" s="287"/>
      <c r="O156" s="53"/>
      <c r="P156" s="287"/>
      <c r="Q156" s="53"/>
      <c r="R156" s="287"/>
      <c r="S156" s="211" t="s">
        <v>175</v>
      </c>
      <c r="T156" s="240"/>
      <c r="U156" s="198"/>
      <c r="AD156" s="266"/>
    </row>
    <row r="157" spans="1:30" s="265" customFormat="1" ht="32.25" customHeight="1" x14ac:dyDescent="0.5">
      <c r="A157" s="277"/>
      <c r="B157" s="487"/>
      <c r="C157" s="278"/>
      <c r="D157" s="279"/>
      <c r="E157" s="259"/>
      <c r="F157" s="259"/>
      <c r="G157" s="77"/>
      <c r="H157" s="77"/>
      <c r="I157" s="360"/>
      <c r="J157" s="360"/>
      <c r="K157" s="360"/>
      <c r="L157" s="360"/>
      <c r="M157" s="360"/>
      <c r="N157" s="287"/>
      <c r="O157" s="53"/>
      <c r="P157" s="287"/>
      <c r="Q157" s="53"/>
      <c r="R157" s="287"/>
      <c r="S157" s="208" t="s">
        <v>176</v>
      </c>
      <c r="T157" s="240"/>
      <c r="U157" s="198"/>
      <c r="AD157" s="266"/>
    </row>
    <row r="158" spans="1:30" s="265" customFormat="1" ht="32.25" customHeight="1" x14ac:dyDescent="0.5">
      <c r="A158" s="277"/>
      <c r="B158" s="487"/>
      <c r="C158" s="202"/>
      <c r="D158" s="202"/>
      <c r="E158" s="259"/>
      <c r="F158" s="259"/>
      <c r="G158" s="77"/>
      <c r="H158" s="77"/>
      <c r="I158" s="360"/>
      <c r="J158" s="360"/>
      <c r="K158" s="360"/>
      <c r="L158" s="360"/>
      <c r="M158" s="360"/>
      <c r="N158" s="287"/>
      <c r="O158" s="53"/>
      <c r="P158" s="287"/>
      <c r="Q158" s="53"/>
      <c r="R158" s="287"/>
      <c r="S158" s="281"/>
      <c r="T158" s="260"/>
      <c r="U158" s="198"/>
      <c r="AD158" s="266"/>
    </row>
    <row r="159" spans="1:30" s="265" customFormat="1" ht="32.25" customHeight="1" x14ac:dyDescent="0.5">
      <c r="A159" s="277"/>
      <c r="B159" s="487"/>
      <c r="C159" s="202"/>
      <c r="D159" s="202"/>
      <c r="E159" s="259"/>
      <c r="F159" s="259"/>
      <c r="G159" s="77"/>
      <c r="H159" s="77"/>
      <c r="I159" s="360"/>
      <c r="J159" s="360"/>
      <c r="K159" s="360"/>
      <c r="L159" s="360"/>
      <c r="M159" s="360"/>
      <c r="N159" s="287"/>
      <c r="O159" s="53"/>
      <c r="P159" s="287"/>
      <c r="Q159" s="53"/>
      <c r="R159" s="287"/>
      <c r="S159" s="282" t="s">
        <v>79</v>
      </c>
      <c r="T159" s="283"/>
      <c r="U159" s="198"/>
      <c r="AD159" s="266"/>
    </row>
    <row r="160" spans="1:30" s="265" customFormat="1" ht="32.25" customHeight="1" x14ac:dyDescent="0.5">
      <c r="A160" s="277"/>
      <c r="B160" s="487"/>
      <c r="C160" s="202"/>
      <c r="D160" s="202"/>
      <c r="E160" s="259"/>
      <c r="F160" s="259"/>
      <c r="G160" s="77"/>
      <c r="H160" s="77"/>
      <c r="I160" s="360"/>
      <c r="J160" s="360"/>
      <c r="K160" s="360"/>
      <c r="L160" s="360"/>
      <c r="M160" s="360"/>
      <c r="N160" s="287"/>
      <c r="O160" s="53"/>
      <c r="P160" s="287"/>
      <c r="Q160" s="53"/>
      <c r="R160" s="287"/>
      <c r="S160" s="282" t="s">
        <v>53</v>
      </c>
      <c r="T160" s="283"/>
      <c r="U160" s="198"/>
      <c r="AD160" s="266"/>
    </row>
    <row r="161" spans="1:30" s="265" customFormat="1" ht="32.25" customHeight="1" x14ac:dyDescent="0.5">
      <c r="A161" s="277"/>
      <c r="B161" s="487"/>
      <c r="C161" s="202"/>
      <c r="D161" s="202"/>
      <c r="E161" s="259"/>
      <c r="F161" s="259"/>
      <c r="G161" s="77"/>
      <c r="H161" s="77"/>
      <c r="I161" s="360"/>
      <c r="J161" s="360"/>
      <c r="K161" s="360"/>
      <c r="L161" s="360"/>
      <c r="M161" s="360"/>
      <c r="N161" s="287"/>
      <c r="O161" s="53"/>
      <c r="P161" s="287"/>
      <c r="Q161" s="53"/>
      <c r="R161" s="287"/>
      <c r="S161" s="282" t="s">
        <v>80</v>
      </c>
      <c r="T161" s="283"/>
      <c r="U161" s="198"/>
      <c r="AD161" s="266"/>
    </row>
    <row r="162" spans="1:30" s="265" customFormat="1" ht="32.25" customHeight="1" x14ac:dyDescent="0.5">
      <c r="A162" s="277"/>
      <c r="B162" s="487"/>
      <c r="C162" s="202"/>
      <c r="D162" s="202"/>
      <c r="E162" s="259"/>
      <c r="F162" s="259"/>
      <c r="G162" s="77"/>
      <c r="H162" s="77"/>
      <c r="I162" s="360"/>
      <c r="J162" s="360"/>
      <c r="K162" s="360"/>
      <c r="L162" s="360"/>
      <c r="M162" s="360"/>
      <c r="N162" s="287"/>
      <c r="O162" s="53"/>
      <c r="P162" s="287"/>
      <c r="Q162" s="53"/>
      <c r="R162" s="287"/>
      <c r="S162" s="208" t="s">
        <v>81</v>
      </c>
      <c r="T162" s="283"/>
      <c r="U162" s="198"/>
      <c r="AD162" s="266"/>
    </row>
    <row r="163" spans="1:30" s="265" customFormat="1" ht="32.25" customHeight="1" x14ac:dyDescent="0.5">
      <c r="A163" s="277"/>
      <c r="B163" s="487"/>
      <c r="C163" s="202"/>
      <c r="D163" s="202"/>
      <c r="E163" s="259"/>
      <c r="F163" s="259"/>
      <c r="G163" s="77"/>
      <c r="H163" s="77"/>
      <c r="I163" s="360"/>
      <c r="J163" s="360"/>
      <c r="K163" s="360"/>
      <c r="L163" s="360"/>
      <c r="M163" s="360"/>
      <c r="N163" s="287"/>
      <c r="O163" s="53"/>
      <c r="P163" s="287"/>
      <c r="Q163" s="53"/>
      <c r="R163" s="287"/>
      <c r="S163" s="208" t="s">
        <v>82</v>
      </c>
      <c r="T163" s="283"/>
      <c r="U163" s="198"/>
      <c r="AD163" s="266"/>
    </row>
    <row r="164" spans="1:30" s="265" customFormat="1" ht="32.25" customHeight="1" x14ac:dyDescent="0.5">
      <c r="A164" s="277"/>
      <c r="B164" s="487"/>
      <c r="C164" s="202"/>
      <c r="D164" s="202"/>
      <c r="E164" s="259"/>
      <c r="F164" s="259"/>
      <c r="G164" s="77"/>
      <c r="H164" s="77"/>
      <c r="I164" s="360"/>
      <c r="J164" s="360"/>
      <c r="K164" s="360"/>
      <c r="L164" s="360"/>
      <c r="M164" s="360"/>
      <c r="N164" s="287"/>
      <c r="O164" s="53"/>
      <c r="P164" s="287"/>
      <c r="Q164" s="53"/>
      <c r="R164" s="287"/>
      <c r="S164" s="208" t="s">
        <v>187</v>
      </c>
      <c r="T164" s="283"/>
      <c r="U164" s="198"/>
      <c r="AD164" s="266"/>
    </row>
    <row r="165" spans="1:30" s="265" customFormat="1" ht="32.25" customHeight="1" x14ac:dyDescent="0.5">
      <c r="A165" s="277"/>
      <c r="B165" s="487"/>
      <c r="C165" s="202"/>
      <c r="D165" s="202"/>
      <c r="E165" s="259"/>
      <c r="F165" s="259"/>
      <c r="G165" s="77"/>
      <c r="H165" s="77"/>
      <c r="I165" s="360"/>
      <c r="J165" s="360"/>
      <c r="K165" s="360"/>
      <c r="L165" s="360"/>
      <c r="M165" s="360"/>
      <c r="N165" s="287"/>
      <c r="O165" s="53"/>
      <c r="P165" s="287"/>
      <c r="Q165" s="53"/>
      <c r="R165" s="287"/>
      <c r="S165" s="281"/>
      <c r="T165" s="260"/>
      <c r="U165" s="198"/>
      <c r="AD165" s="266"/>
    </row>
    <row r="166" spans="1:30" s="265" customFormat="1" ht="32.25" customHeight="1" x14ac:dyDescent="0.5">
      <c r="A166" s="277"/>
      <c r="B166" s="487"/>
      <c r="C166" s="202"/>
      <c r="D166" s="202"/>
      <c r="E166" s="259"/>
      <c r="F166" s="259"/>
      <c r="G166" s="77"/>
      <c r="H166" s="77"/>
      <c r="I166" s="360"/>
      <c r="J166" s="360"/>
      <c r="K166" s="360"/>
      <c r="L166" s="360"/>
      <c r="M166" s="360"/>
      <c r="N166" s="287"/>
      <c r="O166" s="53"/>
      <c r="P166" s="287"/>
      <c r="Q166" s="53"/>
      <c r="R166" s="287"/>
      <c r="S166" s="212" t="s">
        <v>191</v>
      </c>
      <c r="T166" s="213" t="s">
        <v>190</v>
      </c>
      <c r="U166" s="198"/>
      <c r="AD166" s="266"/>
    </row>
    <row r="167" spans="1:30" s="265" customFormat="1" ht="32.25" customHeight="1" x14ac:dyDescent="0.5">
      <c r="A167" s="277"/>
      <c r="B167" s="487"/>
      <c r="C167" s="202"/>
      <c r="D167" s="202"/>
      <c r="E167" s="259"/>
      <c r="F167" s="259"/>
      <c r="G167" s="77"/>
      <c r="H167" s="77"/>
      <c r="I167" s="360"/>
      <c r="J167" s="360"/>
      <c r="K167" s="360"/>
      <c r="L167" s="360"/>
      <c r="M167" s="360"/>
      <c r="N167" s="287"/>
      <c r="O167" s="53"/>
      <c r="P167" s="287"/>
      <c r="Q167" s="53"/>
      <c r="R167" s="287"/>
      <c r="S167" s="212" t="s">
        <v>194</v>
      </c>
      <c r="T167" s="213" t="s">
        <v>190</v>
      </c>
      <c r="U167" s="198"/>
      <c r="AD167" s="266"/>
    </row>
    <row r="168" spans="1:30" s="265" customFormat="1" ht="32.25" customHeight="1" x14ac:dyDescent="0.5">
      <c r="A168" s="277"/>
      <c r="B168" s="487"/>
      <c r="C168" s="202"/>
      <c r="D168" s="202"/>
      <c r="E168" s="259"/>
      <c r="F168" s="259"/>
      <c r="G168" s="77"/>
      <c r="H168" s="77"/>
      <c r="I168" s="360"/>
      <c r="J168" s="360"/>
      <c r="K168" s="360"/>
      <c r="L168" s="360"/>
      <c r="M168" s="360"/>
      <c r="N168" s="287"/>
      <c r="O168" s="53"/>
      <c r="P168" s="287"/>
      <c r="Q168" s="53"/>
      <c r="R168" s="287"/>
      <c r="S168" s="242"/>
      <c r="T168" s="243"/>
      <c r="U168" s="198"/>
      <c r="AD168" s="266"/>
    </row>
    <row r="169" spans="1:30" s="265" customFormat="1" ht="32.25" customHeight="1" x14ac:dyDescent="0.5">
      <c r="A169" s="277"/>
      <c r="B169" s="487"/>
      <c r="C169" s="202"/>
      <c r="D169" s="202"/>
      <c r="E169" s="259"/>
      <c r="F169" s="259"/>
      <c r="G169" s="77"/>
      <c r="H169" s="77"/>
      <c r="I169" s="360"/>
      <c r="J169" s="360"/>
      <c r="K169" s="360"/>
      <c r="L169" s="360"/>
      <c r="M169" s="360"/>
      <c r="N169" s="287"/>
      <c r="O169" s="53"/>
      <c r="P169" s="287"/>
      <c r="Q169" s="53"/>
      <c r="R169" s="287"/>
      <c r="S169" s="244" t="s">
        <v>126</v>
      </c>
      <c r="T169" s="205"/>
      <c r="U169" s="198"/>
      <c r="AD169" s="266"/>
    </row>
    <row r="170" spans="1:30" s="265" customFormat="1" ht="32.25" customHeight="1" x14ac:dyDescent="0.5">
      <c r="A170" s="277"/>
      <c r="B170" s="487"/>
      <c r="C170" s="202"/>
      <c r="D170" s="202"/>
      <c r="E170" s="259"/>
      <c r="F170" s="259"/>
      <c r="G170" s="77"/>
      <c r="H170" s="77"/>
      <c r="I170" s="360"/>
      <c r="J170" s="360"/>
      <c r="K170" s="360"/>
      <c r="L170" s="360"/>
      <c r="M170" s="360"/>
      <c r="N170" s="287"/>
      <c r="O170" s="53"/>
      <c r="P170" s="287"/>
      <c r="Q170" s="53"/>
      <c r="R170" s="287"/>
      <c r="S170" s="146" t="s">
        <v>239</v>
      </c>
      <c r="T170" s="526" t="s">
        <v>316</v>
      </c>
      <c r="U170" s="198"/>
      <c r="AD170" s="266"/>
    </row>
    <row r="171" spans="1:30" s="265" customFormat="1" ht="32.25" customHeight="1" x14ac:dyDescent="0.5">
      <c r="A171" s="277"/>
      <c r="B171" s="487"/>
      <c r="C171" s="202"/>
      <c r="D171" s="202"/>
      <c r="E171" s="259"/>
      <c r="F171" s="259"/>
      <c r="G171" s="77"/>
      <c r="H171" s="77"/>
      <c r="I171" s="360"/>
      <c r="J171" s="360"/>
      <c r="K171" s="360"/>
      <c r="L171" s="360"/>
      <c r="M171" s="360"/>
      <c r="N171" s="287"/>
      <c r="O171" s="53"/>
      <c r="P171" s="287"/>
      <c r="Q171" s="53"/>
      <c r="R171" s="287"/>
      <c r="S171" s="281"/>
      <c r="T171" s="260"/>
      <c r="U171" s="198"/>
      <c r="AD171" s="266"/>
    </row>
    <row r="172" spans="1:30" s="265" customFormat="1" ht="32.25" customHeight="1" x14ac:dyDescent="0.5">
      <c r="A172" s="258"/>
      <c r="B172" s="487"/>
      <c r="C172" s="202"/>
      <c r="D172" s="202"/>
      <c r="E172" s="276"/>
      <c r="F172" s="276"/>
      <c r="G172" s="59"/>
      <c r="H172" s="59"/>
      <c r="I172" s="369"/>
      <c r="J172" s="369"/>
      <c r="K172" s="369"/>
      <c r="L172" s="369"/>
      <c r="M172" s="369"/>
      <c r="N172" s="369"/>
      <c r="O172" s="14"/>
      <c r="P172" s="286"/>
      <c r="Q172" s="14"/>
      <c r="R172" s="286"/>
      <c r="S172" s="216" t="s">
        <v>0</v>
      </c>
      <c r="T172" s="217">
        <f xml:space="preserve"> SUM(H142:H173)-SUM($G142:$G173)</f>
        <v>0.14583333333333326</v>
      </c>
      <c r="AD172" s="266"/>
    </row>
    <row r="173" spans="1:30" s="265" customFormat="1" ht="32.25" customHeight="1" thickBot="1" x14ac:dyDescent="0.55000000000000004">
      <c r="A173" s="263"/>
      <c r="B173" s="488"/>
      <c r="C173" s="220"/>
      <c r="D173" s="220"/>
      <c r="E173" s="221"/>
      <c r="F173" s="221"/>
      <c r="G173" s="63"/>
      <c r="H173" s="63"/>
      <c r="I173" s="362"/>
      <c r="J173" s="362"/>
      <c r="K173" s="362"/>
      <c r="L173" s="362"/>
      <c r="M173" s="362"/>
      <c r="N173" s="362"/>
      <c r="O173" s="64"/>
      <c r="P173" s="289"/>
      <c r="Q173" s="64"/>
      <c r="R173" s="289"/>
      <c r="S173" s="222" t="s">
        <v>4</v>
      </c>
      <c r="T173" s="223">
        <f xml:space="preserve"> SUM(M142:M173)-SUM($J142:$J173)</f>
        <v>0.13888888888888884</v>
      </c>
      <c r="AD173" s="266"/>
    </row>
    <row r="174" spans="1:30" s="28" customFormat="1" ht="32.25" customHeight="1" x14ac:dyDescent="0.5">
      <c r="A174" s="69" t="s">
        <v>137</v>
      </c>
      <c r="B174" s="480" t="s">
        <v>249</v>
      </c>
      <c r="C174" s="105"/>
      <c r="D174" s="105"/>
      <c r="E174" s="89"/>
      <c r="F174" s="89"/>
      <c r="G174" s="90"/>
      <c r="H174" s="90"/>
      <c r="I174" s="364"/>
      <c r="J174" s="364"/>
      <c r="K174" s="364"/>
      <c r="L174" s="364"/>
      <c r="M174" s="364"/>
      <c r="N174" s="186"/>
      <c r="O174" s="86"/>
      <c r="P174" s="186"/>
      <c r="Q174" s="86"/>
      <c r="R174" s="186"/>
      <c r="S174" s="54"/>
      <c r="T174" s="91"/>
      <c r="U174" s="43"/>
      <c r="AD174" s="44"/>
    </row>
    <row r="175" spans="1:30" s="28" customFormat="1" ht="32.25" customHeight="1" x14ac:dyDescent="0.5">
      <c r="A175" s="70" t="s">
        <v>16</v>
      </c>
      <c r="B175" s="481"/>
      <c r="C175" s="30"/>
      <c r="D175" s="104"/>
      <c r="E175" s="92"/>
      <c r="F175" s="92"/>
      <c r="G175" s="93"/>
      <c r="H175" s="93"/>
      <c r="I175" s="365"/>
      <c r="J175" s="365"/>
      <c r="K175" s="365"/>
      <c r="L175" s="365"/>
      <c r="M175" s="365"/>
      <c r="N175" s="104"/>
      <c r="O175" s="85"/>
      <c r="P175" s="104"/>
      <c r="Q175" s="85"/>
      <c r="R175" s="104"/>
      <c r="S175" s="98" t="s">
        <v>213</v>
      </c>
      <c r="T175" s="94"/>
      <c r="U175" s="43"/>
      <c r="AD175" s="44"/>
    </row>
    <row r="176" spans="1:30" s="28" customFormat="1" ht="32.25" customHeight="1" x14ac:dyDescent="0.5">
      <c r="A176" s="70" t="s">
        <v>180</v>
      </c>
      <c r="B176" s="481"/>
      <c r="C176" s="106"/>
      <c r="D176" s="106"/>
      <c r="E176" s="92"/>
      <c r="F176" s="92"/>
      <c r="G176" s="93"/>
      <c r="H176" s="93"/>
      <c r="I176" s="365"/>
      <c r="J176" s="365"/>
      <c r="K176" s="365"/>
      <c r="L176" s="365"/>
      <c r="M176" s="365"/>
      <c r="N176" s="104"/>
      <c r="O176" s="85"/>
      <c r="P176" s="104"/>
      <c r="Q176" s="85"/>
      <c r="R176" s="104"/>
      <c r="S176" s="98"/>
      <c r="T176" s="94"/>
      <c r="U176" s="43"/>
      <c r="AD176" s="44"/>
    </row>
    <row r="177" spans="1:32" s="28" customFormat="1" ht="32.25" customHeight="1" x14ac:dyDescent="0.5">
      <c r="A177" s="70"/>
      <c r="B177" s="481"/>
      <c r="C177" s="106"/>
      <c r="D177" s="106"/>
      <c r="E177" s="15"/>
      <c r="F177" s="15"/>
      <c r="G177" s="116"/>
      <c r="H177" s="116"/>
      <c r="I177" s="366"/>
      <c r="J177" s="366"/>
      <c r="K177" s="366"/>
      <c r="L177" s="366"/>
      <c r="M177" s="371"/>
      <c r="N177" s="366"/>
      <c r="O177" s="16"/>
      <c r="P177" s="106"/>
      <c r="Q177" s="16"/>
      <c r="R177" s="106"/>
      <c r="S177" s="29" t="s">
        <v>0</v>
      </c>
      <c r="T177" s="19">
        <f xml:space="preserve"> SUM(H174:H178)-SUM($G174:$G178)</f>
        <v>0</v>
      </c>
      <c r="AD177" s="44"/>
    </row>
    <row r="178" spans="1:32" s="28" customFormat="1" ht="32.25" customHeight="1" thickBot="1" x14ac:dyDescent="0.55000000000000004">
      <c r="A178" s="71"/>
      <c r="B178" s="482"/>
      <c r="C178" s="107"/>
      <c r="D178" s="107"/>
      <c r="E178" s="117"/>
      <c r="F178" s="117"/>
      <c r="G178" s="118"/>
      <c r="H178" s="118"/>
      <c r="I178" s="367"/>
      <c r="J178" s="367"/>
      <c r="K178" s="367"/>
      <c r="L178" s="367"/>
      <c r="M178" s="367"/>
      <c r="N178" s="367"/>
      <c r="O178" s="21"/>
      <c r="P178" s="107"/>
      <c r="Q178" s="21"/>
      <c r="R178" s="107"/>
      <c r="S178" s="119" t="s">
        <v>4</v>
      </c>
      <c r="T178" s="27">
        <f xml:space="preserve"> SUM(M174:M178)-SUM($J174:$J178)</f>
        <v>0</v>
      </c>
      <c r="AD178" s="44"/>
    </row>
    <row r="179" spans="1:32" s="229" customFormat="1" ht="33" customHeight="1" x14ac:dyDescent="0.5">
      <c r="A179" s="254" t="s">
        <v>138</v>
      </c>
      <c r="B179" s="487" t="s">
        <v>51</v>
      </c>
      <c r="C179" s="194"/>
      <c r="D179" s="194"/>
      <c r="E179" s="255"/>
      <c r="F179" s="255"/>
      <c r="G179" s="74"/>
      <c r="H179" s="74"/>
      <c r="I179" s="359"/>
      <c r="J179" s="359"/>
      <c r="K179" s="359"/>
      <c r="L179" s="359"/>
      <c r="M179" s="359"/>
      <c r="N179" s="381"/>
      <c r="O179" s="48"/>
      <c r="P179" s="381"/>
      <c r="Q179" s="48"/>
      <c r="R179" s="381"/>
      <c r="S179" s="256"/>
      <c r="T179" s="257"/>
      <c r="U179" s="198"/>
      <c r="AD179" s="230"/>
      <c r="AE179" s="199"/>
      <c r="AF179" s="199"/>
    </row>
    <row r="180" spans="1:32" s="229" customFormat="1" ht="33" customHeight="1" x14ac:dyDescent="0.5">
      <c r="A180" s="258" t="s">
        <v>16</v>
      </c>
      <c r="B180" s="487"/>
      <c r="C180" s="202" t="s">
        <v>45</v>
      </c>
      <c r="D180" s="202" t="s">
        <v>43</v>
      </c>
      <c r="E180" s="394" t="s">
        <v>42</v>
      </c>
      <c r="F180" s="394" t="s">
        <v>35</v>
      </c>
      <c r="G180" s="353">
        <v>0.3125</v>
      </c>
      <c r="H180" s="353">
        <f>G180+75*"0:1:0"</f>
        <v>0.36458333333333331</v>
      </c>
      <c r="I180" s="366">
        <v>0.3527777777777778</v>
      </c>
      <c r="J180" s="366">
        <v>0.35625000000000001</v>
      </c>
      <c r="K180" s="366">
        <v>0.35833333333333334</v>
      </c>
      <c r="L180" s="366">
        <v>0.40625</v>
      </c>
      <c r="M180" s="366">
        <v>0.40902777777777777</v>
      </c>
      <c r="N180" s="365">
        <f t="shared" ref="N180:N181" si="4">SUM(M180-J180)</f>
        <v>5.2777777777777757E-2</v>
      </c>
      <c r="O180" s="357" t="s">
        <v>48</v>
      </c>
      <c r="P180" s="106" t="s">
        <v>48</v>
      </c>
      <c r="Q180" s="3" t="s">
        <v>48</v>
      </c>
      <c r="R180" s="106" t="s">
        <v>48</v>
      </c>
      <c r="S180" s="242" t="s">
        <v>279</v>
      </c>
      <c r="T180" s="271"/>
      <c r="U180" s="198"/>
      <c r="AD180" s="230"/>
      <c r="AE180" s="199"/>
      <c r="AF180" s="199"/>
    </row>
    <row r="181" spans="1:32" s="229" customFormat="1" ht="33" customHeight="1" x14ac:dyDescent="0.5">
      <c r="A181" s="258" t="s">
        <v>166</v>
      </c>
      <c r="B181" s="487"/>
      <c r="C181" s="202"/>
      <c r="D181" s="202"/>
      <c r="E181" s="394" t="s">
        <v>35</v>
      </c>
      <c r="F181" s="394" t="s">
        <v>42</v>
      </c>
      <c r="G181" s="353">
        <v>0.40625</v>
      </c>
      <c r="H181" s="353">
        <f>G181+75*"0:1:0"</f>
        <v>0.45833333333333331</v>
      </c>
      <c r="I181" s="366">
        <v>0.44374999999999998</v>
      </c>
      <c r="J181" s="366">
        <v>0.44583333333333336</v>
      </c>
      <c r="K181" s="366">
        <v>0.45069444444444445</v>
      </c>
      <c r="L181" s="366">
        <v>0.49652777777777779</v>
      </c>
      <c r="M181" s="366">
        <v>0.49861111111111112</v>
      </c>
      <c r="N181" s="365">
        <f t="shared" si="4"/>
        <v>5.2777777777777757E-2</v>
      </c>
      <c r="O181" s="357">
        <v>9</v>
      </c>
      <c r="P181" s="106">
        <v>9</v>
      </c>
      <c r="Q181" s="45">
        <v>10</v>
      </c>
      <c r="R181" s="106">
        <v>5</v>
      </c>
      <c r="S181" s="242" t="s">
        <v>280</v>
      </c>
      <c r="T181" s="271"/>
      <c r="U181" s="198"/>
      <c r="AD181" s="230"/>
      <c r="AE181" s="199"/>
      <c r="AF181" s="199"/>
    </row>
    <row r="182" spans="1:32" s="229" customFormat="1" ht="33" customHeight="1" x14ac:dyDescent="0.5">
      <c r="A182" s="258"/>
      <c r="B182" s="487"/>
      <c r="C182" s="202"/>
      <c r="D182" s="202"/>
      <c r="E182" s="259"/>
      <c r="F182" s="259"/>
      <c r="G182" s="77"/>
      <c r="H182" s="77"/>
      <c r="I182" s="360"/>
      <c r="J182" s="360"/>
      <c r="K182" s="360"/>
      <c r="L182" s="360"/>
      <c r="M182" s="360"/>
      <c r="N182" s="287"/>
      <c r="O182" s="53"/>
      <c r="P182" s="287"/>
      <c r="Q182" s="53"/>
      <c r="R182" s="287"/>
      <c r="S182" s="242"/>
      <c r="T182" s="260"/>
      <c r="U182" s="198"/>
      <c r="AD182" s="230"/>
      <c r="AE182" s="199"/>
      <c r="AF182" s="199"/>
    </row>
    <row r="183" spans="1:32" s="229" customFormat="1" ht="33" customHeight="1" x14ac:dyDescent="0.5">
      <c r="A183" s="258"/>
      <c r="B183" s="487"/>
      <c r="C183" s="202"/>
      <c r="D183" s="202"/>
      <c r="E183" s="259"/>
      <c r="F183" s="259"/>
      <c r="G183" s="77"/>
      <c r="H183" s="77"/>
      <c r="I183" s="360"/>
      <c r="J183" s="360"/>
      <c r="K183" s="360"/>
      <c r="L183" s="360"/>
      <c r="M183" s="360"/>
      <c r="N183" s="287"/>
      <c r="O183" s="53"/>
      <c r="P183" s="287"/>
      <c r="Q183" s="53"/>
      <c r="R183" s="287"/>
      <c r="S183" s="208" t="s">
        <v>97</v>
      </c>
      <c r="T183" s="237"/>
      <c r="U183" s="198"/>
      <c r="AD183" s="230"/>
      <c r="AE183" s="199"/>
      <c r="AF183" s="199"/>
    </row>
    <row r="184" spans="1:32" s="229" customFormat="1" ht="33" customHeight="1" x14ac:dyDescent="0.5">
      <c r="A184" s="258"/>
      <c r="B184" s="487"/>
      <c r="C184" s="202"/>
      <c r="D184" s="202"/>
      <c r="E184" s="259"/>
      <c r="F184" s="259"/>
      <c r="G184" s="77"/>
      <c r="H184" s="77"/>
      <c r="I184" s="360"/>
      <c r="J184" s="360"/>
      <c r="K184" s="360"/>
      <c r="L184" s="360"/>
      <c r="M184" s="360"/>
      <c r="N184" s="287"/>
      <c r="O184" s="53"/>
      <c r="P184" s="287"/>
      <c r="Q184" s="53"/>
      <c r="R184" s="287"/>
      <c r="S184" s="290" t="s">
        <v>123</v>
      </c>
      <c r="T184" s="230"/>
      <c r="U184" s="198"/>
      <c r="AD184" s="230"/>
      <c r="AE184" s="199"/>
      <c r="AF184" s="199"/>
    </row>
    <row r="185" spans="1:32" s="229" customFormat="1" ht="33" customHeight="1" x14ac:dyDescent="0.5">
      <c r="A185" s="258"/>
      <c r="B185" s="487"/>
      <c r="C185" s="202"/>
      <c r="D185" s="202"/>
      <c r="E185" s="259"/>
      <c r="F185" s="259"/>
      <c r="G185" s="77"/>
      <c r="H185" s="77"/>
      <c r="I185" s="360"/>
      <c r="J185" s="360"/>
      <c r="K185" s="360"/>
      <c r="L185" s="360"/>
      <c r="M185" s="360"/>
      <c r="N185" s="287"/>
      <c r="O185" s="53"/>
      <c r="P185" s="287"/>
      <c r="Q185" s="53"/>
      <c r="R185" s="287"/>
      <c r="S185" s="242"/>
      <c r="T185" s="260"/>
      <c r="U185" s="198"/>
      <c r="AD185" s="230"/>
      <c r="AE185" s="199"/>
      <c r="AF185" s="199"/>
    </row>
    <row r="186" spans="1:32" s="229" customFormat="1" ht="33" customHeight="1" x14ac:dyDescent="0.5">
      <c r="A186" s="258"/>
      <c r="B186" s="487"/>
      <c r="C186" s="202"/>
      <c r="D186" s="202"/>
      <c r="E186" s="259"/>
      <c r="F186" s="259"/>
      <c r="G186" s="77"/>
      <c r="H186" s="77"/>
      <c r="I186" s="360"/>
      <c r="J186" s="360"/>
      <c r="K186" s="360"/>
      <c r="L186" s="360"/>
      <c r="M186" s="360"/>
      <c r="N186" s="287"/>
      <c r="O186" s="53"/>
      <c r="P186" s="287"/>
      <c r="Q186" s="53"/>
      <c r="R186" s="287"/>
      <c r="S186" s="146" t="s">
        <v>73</v>
      </c>
      <c r="T186" s="237"/>
      <c r="U186" s="198"/>
      <c r="AD186" s="230"/>
      <c r="AE186" s="199"/>
      <c r="AF186" s="199"/>
    </row>
    <row r="187" spans="1:32" s="229" customFormat="1" ht="33" customHeight="1" x14ac:dyDescent="0.5">
      <c r="A187" s="258"/>
      <c r="B187" s="487"/>
      <c r="C187" s="202"/>
      <c r="D187" s="202"/>
      <c r="E187" s="259"/>
      <c r="F187" s="259"/>
      <c r="G187" s="77"/>
      <c r="H187" s="77"/>
      <c r="I187" s="360"/>
      <c r="J187" s="360"/>
      <c r="K187" s="360"/>
      <c r="L187" s="360"/>
      <c r="M187" s="360"/>
      <c r="N187" s="287"/>
      <c r="O187" s="53"/>
      <c r="P187" s="287"/>
      <c r="Q187" s="53"/>
      <c r="R187" s="287"/>
      <c r="S187" s="207" t="s">
        <v>74</v>
      </c>
      <c r="T187" s="238"/>
      <c r="U187" s="198"/>
      <c r="AD187" s="230"/>
      <c r="AE187" s="199"/>
      <c r="AF187" s="199"/>
    </row>
    <row r="188" spans="1:32" s="229" customFormat="1" ht="33" customHeight="1" x14ac:dyDescent="0.5">
      <c r="A188" s="258"/>
      <c r="B188" s="487"/>
      <c r="C188" s="202"/>
      <c r="D188" s="202"/>
      <c r="E188" s="259"/>
      <c r="F188" s="259"/>
      <c r="G188" s="77"/>
      <c r="H188" s="77"/>
      <c r="I188" s="360"/>
      <c r="J188" s="360"/>
      <c r="K188" s="360"/>
      <c r="L188" s="360"/>
      <c r="M188" s="360"/>
      <c r="N188" s="287"/>
      <c r="O188" s="53"/>
      <c r="P188" s="287"/>
      <c r="Q188" s="53"/>
      <c r="R188" s="287"/>
      <c r="S188" s="207" t="s">
        <v>75</v>
      </c>
      <c r="T188" s="238"/>
      <c r="U188" s="198"/>
      <c r="AD188" s="230"/>
      <c r="AE188" s="199"/>
      <c r="AF188" s="199"/>
    </row>
    <row r="189" spans="1:32" s="229" customFormat="1" ht="33" customHeight="1" x14ac:dyDescent="0.5">
      <c r="A189" s="258"/>
      <c r="B189" s="487"/>
      <c r="C189" s="202"/>
      <c r="D189" s="202"/>
      <c r="E189" s="259"/>
      <c r="F189" s="259"/>
      <c r="G189" s="77"/>
      <c r="H189" s="77"/>
      <c r="I189" s="360"/>
      <c r="J189" s="360"/>
      <c r="K189" s="360"/>
      <c r="L189" s="360"/>
      <c r="M189" s="360"/>
      <c r="N189" s="287"/>
      <c r="O189" s="53"/>
      <c r="P189" s="287"/>
      <c r="Q189" s="53"/>
      <c r="R189" s="287"/>
      <c r="S189" s="208" t="s">
        <v>76</v>
      </c>
      <c r="T189" s="238"/>
      <c r="U189" s="198"/>
      <c r="AD189" s="230"/>
      <c r="AE189" s="199"/>
      <c r="AF189" s="199"/>
    </row>
    <row r="190" spans="1:32" s="229" customFormat="1" ht="33" customHeight="1" x14ac:dyDescent="0.5">
      <c r="A190" s="258"/>
      <c r="B190" s="487"/>
      <c r="C190" s="202"/>
      <c r="D190" s="202"/>
      <c r="E190" s="259"/>
      <c r="F190" s="259"/>
      <c r="G190" s="77"/>
      <c r="H190" s="77"/>
      <c r="I190" s="360"/>
      <c r="J190" s="360"/>
      <c r="K190" s="360"/>
      <c r="L190" s="360"/>
      <c r="M190" s="360"/>
      <c r="N190" s="287"/>
      <c r="O190" s="53"/>
      <c r="P190" s="287"/>
      <c r="Q190" s="53"/>
      <c r="R190" s="287"/>
      <c r="S190" s="209" t="s">
        <v>77</v>
      </c>
      <c r="T190" s="238"/>
      <c r="U190" s="198"/>
      <c r="AD190" s="230"/>
      <c r="AE190" s="199"/>
      <c r="AF190" s="199"/>
    </row>
    <row r="191" spans="1:32" s="229" customFormat="1" ht="33" customHeight="1" x14ac:dyDescent="0.5">
      <c r="A191" s="258"/>
      <c r="B191" s="487"/>
      <c r="C191" s="202"/>
      <c r="D191" s="202"/>
      <c r="E191" s="259"/>
      <c r="F191" s="259"/>
      <c r="G191" s="77"/>
      <c r="H191" s="77"/>
      <c r="I191" s="360"/>
      <c r="J191" s="360"/>
      <c r="K191" s="360"/>
      <c r="L191" s="360"/>
      <c r="M191" s="360"/>
      <c r="N191" s="287"/>
      <c r="O191" s="53"/>
      <c r="P191" s="287"/>
      <c r="Q191" s="53"/>
      <c r="R191" s="287"/>
      <c r="S191" s="209" t="s">
        <v>78</v>
      </c>
      <c r="T191" s="238"/>
      <c r="U191" s="198"/>
      <c r="AD191" s="230"/>
      <c r="AE191" s="199"/>
      <c r="AF191" s="199"/>
    </row>
    <row r="192" spans="1:32" s="229" customFormat="1" ht="33" customHeight="1" x14ac:dyDescent="0.5">
      <c r="A192" s="258"/>
      <c r="B192" s="487"/>
      <c r="C192" s="202"/>
      <c r="D192" s="202"/>
      <c r="E192" s="259"/>
      <c r="F192" s="259"/>
      <c r="G192" s="77"/>
      <c r="H192" s="77"/>
      <c r="I192" s="360"/>
      <c r="J192" s="360"/>
      <c r="K192" s="360"/>
      <c r="L192" s="360"/>
      <c r="M192" s="360"/>
      <c r="N192" s="287"/>
      <c r="O192" s="53"/>
      <c r="P192" s="287"/>
      <c r="Q192" s="53"/>
      <c r="R192" s="287"/>
      <c r="S192" s="208" t="s">
        <v>168</v>
      </c>
      <c r="T192" s="239"/>
      <c r="U192" s="198"/>
      <c r="AD192" s="230"/>
      <c r="AE192" s="199"/>
      <c r="AF192" s="199"/>
    </row>
    <row r="193" spans="1:32" s="229" customFormat="1" ht="33" customHeight="1" x14ac:dyDescent="0.5">
      <c r="A193" s="258"/>
      <c r="B193" s="487"/>
      <c r="C193" s="202"/>
      <c r="D193" s="202"/>
      <c r="E193" s="259"/>
      <c r="F193" s="259"/>
      <c r="G193" s="77"/>
      <c r="H193" s="77"/>
      <c r="I193" s="360"/>
      <c r="J193" s="360"/>
      <c r="K193" s="360"/>
      <c r="L193" s="360"/>
      <c r="M193" s="360"/>
      <c r="N193" s="287"/>
      <c r="O193" s="53"/>
      <c r="P193" s="287"/>
      <c r="Q193" s="53"/>
      <c r="R193" s="287"/>
      <c r="S193" s="210" t="s">
        <v>169</v>
      </c>
      <c r="T193" s="239"/>
      <c r="U193" s="198"/>
      <c r="AD193" s="230"/>
      <c r="AE193" s="199"/>
      <c r="AF193" s="199"/>
    </row>
    <row r="194" spans="1:32" s="229" customFormat="1" ht="33" customHeight="1" x14ac:dyDescent="0.5">
      <c r="A194" s="258"/>
      <c r="B194" s="487"/>
      <c r="C194" s="202"/>
      <c r="D194" s="202"/>
      <c r="E194" s="259"/>
      <c r="F194" s="259"/>
      <c r="G194" s="77"/>
      <c r="H194" s="77"/>
      <c r="I194" s="360"/>
      <c r="J194" s="360"/>
      <c r="K194" s="360"/>
      <c r="L194" s="360"/>
      <c r="M194" s="360"/>
      <c r="N194" s="287"/>
      <c r="O194" s="53"/>
      <c r="P194" s="287"/>
      <c r="Q194" s="53"/>
      <c r="R194" s="287"/>
      <c r="S194" s="210" t="s">
        <v>170</v>
      </c>
      <c r="T194" s="239"/>
      <c r="U194" s="198"/>
      <c r="AD194" s="230"/>
      <c r="AE194" s="199"/>
      <c r="AF194" s="199"/>
    </row>
    <row r="195" spans="1:32" s="229" customFormat="1" ht="33" customHeight="1" x14ac:dyDescent="0.5">
      <c r="A195" s="258"/>
      <c r="B195" s="487"/>
      <c r="C195" s="202"/>
      <c r="D195" s="202"/>
      <c r="E195" s="259"/>
      <c r="F195" s="259"/>
      <c r="G195" s="77"/>
      <c r="H195" s="77"/>
      <c r="I195" s="360"/>
      <c r="J195" s="360"/>
      <c r="K195" s="360"/>
      <c r="L195" s="360"/>
      <c r="M195" s="360"/>
      <c r="N195" s="287"/>
      <c r="O195" s="53"/>
      <c r="P195" s="287"/>
      <c r="Q195" s="53"/>
      <c r="R195" s="287"/>
      <c r="S195" s="210" t="s">
        <v>171</v>
      </c>
      <c r="T195" s="239"/>
      <c r="U195" s="198"/>
      <c r="AD195" s="230"/>
      <c r="AE195" s="199"/>
      <c r="AF195" s="199"/>
    </row>
    <row r="196" spans="1:32" s="229" customFormat="1" ht="33" customHeight="1" x14ac:dyDescent="0.5">
      <c r="A196" s="258"/>
      <c r="B196" s="487"/>
      <c r="C196" s="202"/>
      <c r="D196" s="202"/>
      <c r="E196" s="259"/>
      <c r="F196" s="259"/>
      <c r="G196" s="77"/>
      <c r="H196" s="77"/>
      <c r="I196" s="360"/>
      <c r="J196" s="360"/>
      <c r="K196" s="360"/>
      <c r="L196" s="360"/>
      <c r="M196" s="360"/>
      <c r="N196" s="287"/>
      <c r="O196" s="53"/>
      <c r="P196" s="287"/>
      <c r="Q196" s="53"/>
      <c r="R196" s="287"/>
      <c r="S196" s="211" t="s">
        <v>175</v>
      </c>
      <c r="T196" s="240"/>
      <c r="U196" s="198"/>
      <c r="AD196" s="230"/>
      <c r="AE196" s="199"/>
      <c r="AF196" s="199"/>
    </row>
    <row r="197" spans="1:32" s="229" customFormat="1" ht="33" customHeight="1" x14ac:dyDescent="0.5">
      <c r="A197" s="258"/>
      <c r="B197" s="487"/>
      <c r="C197" s="202"/>
      <c r="D197" s="202"/>
      <c r="E197" s="259"/>
      <c r="F197" s="259"/>
      <c r="G197" s="77"/>
      <c r="H197" s="77"/>
      <c r="I197" s="360"/>
      <c r="J197" s="360"/>
      <c r="K197" s="360"/>
      <c r="L197" s="360"/>
      <c r="M197" s="360"/>
      <c r="N197" s="287"/>
      <c r="O197" s="53"/>
      <c r="P197" s="287"/>
      <c r="Q197" s="53"/>
      <c r="R197" s="287"/>
      <c r="S197" s="208" t="s">
        <v>176</v>
      </c>
      <c r="T197" s="240"/>
      <c r="U197" s="198"/>
      <c r="AD197" s="230"/>
      <c r="AE197" s="199"/>
      <c r="AF197" s="199"/>
    </row>
    <row r="198" spans="1:32" s="229" customFormat="1" ht="33" customHeight="1" x14ac:dyDescent="0.5">
      <c r="A198" s="258"/>
      <c r="B198" s="487"/>
      <c r="C198" s="202"/>
      <c r="D198" s="202"/>
      <c r="E198" s="259"/>
      <c r="F198" s="259"/>
      <c r="G198" s="77"/>
      <c r="H198" s="77"/>
      <c r="I198" s="360"/>
      <c r="J198" s="360"/>
      <c r="K198" s="360"/>
      <c r="L198" s="360"/>
      <c r="M198" s="360"/>
      <c r="N198" s="287"/>
      <c r="O198" s="53"/>
      <c r="P198" s="287"/>
      <c r="Q198" s="53"/>
      <c r="R198" s="287"/>
      <c r="S198" s="242"/>
      <c r="T198" s="260"/>
      <c r="U198" s="198"/>
      <c r="AD198" s="230"/>
      <c r="AE198" s="199"/>
      <c r="AF198" s="199"/>
    </row>
    <row r="199" spans="1:32" s="229" customFormat="1" ht="33" customHeight="1" x14ac:dyDescent="0.5">
      <c r="A199" s="258"/>
      <c r="B199" s="487"/>
      <c r="C199" s="202"/>
      <c r="D199" s="202"/>
      <c r="E199" s="259"/>
      <c r="F199" s="259"/>
      <c r="G199" s="77"/>
      <c r="H199" s="77"/>
      <c r="I199" s="360"/>
      <c r="J199" s="360"/>
      <c r="K199" s="360"/>
      <c r="L199" s="360"/>
      <c r="M199" s="360"/>
      <c r="N199" s="287"/>
      <c r="O199" s="53"/>
      <c r="P199" s="287"/>
      <c r="Q199" s="53"/>
      <c r="R199" s="287"/>
      <c r="S199" s="212" t="s">
        <v>191</v>
      </c>
      <c r="T199" s="213" t="s">
        <v>190</v>
      </c>
      <c r="U199" s="198"/>
      <c r="AD199" s="230"/>
      <c r="AE199" s="199"/>
      <c r="AF199" s="199"/>
    </row>
    <row r="200" spans="1:32" s="229" customFormat="1" ht="33" customHeight="1" x14ac:dyDescent="0.5">
      <c r="A200" s="258"/>
      <c r="B200" s="487"/>
      <c r="C200" s="202"/>
      <c r="D200" s="202"/>
      <c r="E200" s="259"/>
      <c r="F200" s="259"/>
      <c r="G200" s="77"/>
      <c r="H200" s="77"/>
      <c r="I200" s="360"/>
      <c r="J200" s="360"/>
      <c r="K200" s="360"/>
      <c r="L200" s="360"/>
      <c r="M200" s="360"/>
      <c r="N200" s="287"/>
      <c r="O200" s="53"/>
      <c r="P200" s="287"/>
      <c r="Q200" s="53"/>
      <c r="R200" s="287"/>
      <c r="S200" s="212" t="s">
        <v>199</v>
      </c>
      <c r="T200" s="213" t="s">
        <v>190</v>
      </c>
      <c r="U200" s="198"/>
      <c r="AD200" s="230"/>
      <c r="AE200" s="199"/>
      <c r="AF200" s="199"/>
    </row>
    <row r="201" spans="1:32" s="229" customFormat="1" ht="33" customHeight="1" x14ac:dyDescent="0.5">
      <c r="A201" s="258"/>
      <c r="B201" s="487"/>
      <c r="C201" s="202"/>
      <c r="D201" s="202"/>
      <c r="E201" s="259"/>
      <c r="F201" s="259"/>
      <c r="G201" s="77"/>
      <c r="H201" s="77"/>
      <c r="I201" s="360"/>
      <c r="J201" s="360"/>
      <c r="K201" s="360"/>
      <c r="L201" s="360"/>
      <c r="M201" s="360"/>
      <c r="N201" s="287"/>
      <c r="O201" s="53"/>
      <c r="P201" s="287"/>
      <c r="Q201" s="53"/>
      <c r="R201" s="287"/>
      <c r="S201" s="242"/>
      <c r="T201" s="260"/>
      <c r="U201" s="198"/>
      <c r="AD201" s="230"/>
      <c r="AE201" s="199"/>
      <c r="AF201" s="199"/>
    </row>
    <row r="202" spans="1:32" s="229" customFormat="1" ht="33" customHeight="1" x14ac:dyDescent="0.5">
      <c r="A202" s="258"/>
      <c r="B202" s="487"/>
      <c r="C202" s="202"/>
      <c r="D202" s="202"/>
      <c r="E202" s="259"/>
      <c r="F202" s="259"/>
      <c r="G202" s="77"/>
      <c r="H202" s="77"/>
      <c r="I202" s="360"/>
      <c r="J202" s="360"/>
      <c r="K202" s="360"/>
      <c r="L202" s="360"/>
      <c r="M202" s="360"/>
      <c r="N202" s="287"/>
      <c r="O202" s="53"/>
      <c r="P202" s="287"/>
      <c r="Q202" s="53"/>
      <c r="R202" s="287"/>
      <c r="S202" s="184" t="s">
        <v>277</v>
      </c>
      <c r="T202" s="260"/>
      <c r="U202" s="198"/>
      <c r="AD202" s="230"/>
      <c r="AE202" s="199"/>
      <c r="AF202" s="199"/>
    </row>
    <row r="203" spans="1:32" s="229" customFormat="1" ht="33" customHeight="1" x14ac:dyDescent="0.5">
      <c r="A203" s="258"/>
      <c r="B203" s="487"/>
      <c r="C203" s="202"/>
      <c r="D203" s="202"/>
      <c r="E203" s="259"/>
      <c r="F203" s="259"/>
      <c r="G203" s="77"/>
      <c r="H203" s="77"/>
      <c r="I203" s="360"/>
      <c r="J203" s="360"/>
      <c r="K203" s="360"/>
      <c r="L203" s="360"/>
      <c r="M203" s="360"/>
      <c r="N203" s="287"/>
      <c r="O203" s="53"/>
      <c r="P203" s="287"/>
      <c r="Q203" s="53"/>
      <c r="R203" s="287"/>
      <c r="S203" s="184" t="s">
        <v>278</v>
      </c>
      <c r="T203" s="531" t="s">
        <v>320</v>
      </c>
      <c r="U203" s="198"/>
      <c r="AD203" s="230"/>
      <c r="AE203" s="199"/>
      <c r="AF203" s="199"/>
    </row>
    <row r="204" spans="1:32" s="229" customFormat="1" ht="33" customHeight="1" x14ac:dyDescent="0.5">
      <c r="A204" s="258"/>
      <c r="B204" s="487"/>
      <c r="C204" s="202"/>
      <c r="D204" s="202"/>
      <c r="E204" s="259"/>
      <c r="F204" s="259"/>
      <c r="G204" s="77"/>
      <c r="H204" s="77"/>
      <c r="I204" s="360"/>
      <c r="J204" s="360"/>
      <c r="K204" s="360"/>
      <c r="L204" s="360"/>
      <c r="M204" s="360"/>
      <c r="N204" s="287"/>
      <c r="O204" s="53"/>
      <c r="P204" s="287"/>
      <c r="Q204" s="53"/>
      <c r="R204" s="287"/>
      <c r="S204" s="242"/>
      <c r="T204" s="260"/>
      <c r="U204" s="198"/>
      <c r="AD204" s="230"/>
      <c r="AE204" s="199"/>
      <c r="AF204" s="199"/>
    </row>
    <row r="205" spans="1:32" s="229" customFormat="1" ht="33" customHeight="1" x14ac:dyDescent="0.5">
      <c r="A205" s="258"/>
      <c r="B205" s="487"/>
      <c r="C205" s="202"/>
      <c r="D205" s="202"/>
      <c r="E205" s="276"/>
      <c r="F205" s="276"/>
      <c r="G205" s="59"/>
      <c r="H205" s="59"/>
      <c r="I205" s="369"/>
      <c r="J205" s="369"/>
      <c r="K205" s="369"/>
      <c r="L205" s="369"/>
      <c r="M205" s="369"/>
      <c r="N205" s="369"/>
      <c r="O205" s="14"/>
      <c r="P205" s="286"/>
      <c r="Q205" s="14"/>
      <c r="R205" s="286"/>
      <c r="S205" s="216" t="s">
        <v>0</v>
      </c>
      <c r="T205" s="217">
        <f xml:space="preserve"> SUM(H179:H206)-SUM($G179:$G206)</f>
        <v>0.10416666666666663</v>
      </c>
      <c r="U205" s="291"/>
      <c r="AD205" s="230"/>
      <c r="AE205" s="199"/>
      <c r="AF205" s="199"/>
    </row>
    <row r="206" spans="1:32" s="229" customFormat="1" ht="33" customHeight="1" thickBot="1" x14ac:dyDescent="0.55000000000000004">
      <c r="A206" s="263"/>
      <c r="B206" s="488"/>
      <c r="C206" s="220"/>
      <c r="D206" s="220"/>
      <c r="E206" s="221"/>
      <c r="F206" s="221"/>
      <c r="G206" s="63"/>
      <c r="H206" s="63"/>
      <c r="I206" s="362"/>
      <c r="J206" s="362"/>
      <c r="K206" s="362"/>
      <c r="L206" s="362"/>
      <c r="M206" s="362"/>
      <c r="N206" s="362"/>
      <c r="O206" s="64"/>
      <c r="P206" s="289"/>
      <c r="Q206" s="64"/>
      <c r="R206" s="289"/>
      <c r="S206" s="222" t="s">
        <v>4</v>
      </c>
      <c r="T206" s="223">
        <f xml:space="preserve"> SUM(M179:M206)-SUM($J179:$J206)</f>
        <v>0.10555555555555551</v>
      </c>
      <c r="U206" s="291"/>
      <c r="AD206" s="230"/>
      <c r="AE206" s="199"/>
      <c r="AF206" s="199"/>
    </row>
    <row r="207" spans="1:32" s="229" customFormat="1" ht="33" customHeight="1" x14ac:dyDescent="0.5">
      <c r="A207" s="292" t="s">
        <v>139</v>
      </c>
      <c r="B207" s="477" t="s">
        <v>134</v>
      </c>
      <c r="C207" s="293"/>
      <c r="D207" s="293"/>
      <c r="E207" s="259"/>
      <c r="F207" s="259"/>
      <c r="G207" s="77"/>
      <c r="H207" s="77"/>
      <c r="I207" s="360"/>
      <c r="J207" s="360"/>
      <c r="K207" s="360"/>
      <c r="L207" s="360"/>
      <c r="M207" s="360"/>
      <c r="N207" s="287"/>
      <c r="O207" s="53"/>
      <c r="P207" s="287"/>
      <c r="Q207" s="53"/>
      <c r="R207" s="287"/>
      <c r="S207" s="207"/>
      <c r="T207" s="243"/>
      <c r="U207" s="198"/>
      <c r="AD207" s="230"/>
      <c r="AE207" s="199"/>
      <c r="AF207" s="199"/>
    </row>
    <row r="208" spans="1:32" s="229" customFormat="1" ht="33" customHeight="1" x14ac:dyDescent="0.5">
      <c r="A208" s="294" t="s">
        <v>140</v>
      </c>
      <c r="B208" s="478"/>
      <c r="C208" s="245" t="s">
        <v>130</v>
      </c>
      <c r="D208" s="245" t="s">
        <v>43</v>
      </c>
      <c r="E208" s="47" t="s">
        <v>41</v>
      </c>
      <c r="F208" s="47" t="s">
        <v>35</v>
      </c>
      <c r="G208" s="110">
        <v>0.33333333333333331</v>
      </c>
      <c r="H208" s="110">
        <f>G208+115*"0:1:0"</f>
        <v>0.41319444444444442</v>
      </c>
      <c r="I208" s="366">
        <v>0.30902777777777779</v>
      </c>
      <c r="J208" s="366">
        <v>0.30902777777777779</v>
      </c>
      <c r="K208" s="366">
        <v>0.33055555555555555</v>
      </c>
      <c r="L208" s="366">
        <v>0.40486111111111112</v>
      </c>
      <c r="M208" s="366">
        <v>0.40763888888888888</v>
      </c>
      <c r="N208" s="365">
        <f t="shared" ref="N208:N210" si="5">SUM(M208-J208)</f>
        <v>9.8611111111111094E-2</v>
      </c>
      <c r="O208" s="45" t="s">
        <v>48</v>
      </c>
      <c r="P208" s="106" t="s">
        <v>48</v>
      </c>
      <c r="Q208" s="45">
        <v>28</v>
      </c>
      <c r="R208" s="106">
        <v>28</v>
      </c>
      <c r="S208" s="295" t="s">
        <v>253</v>
      </c>
      <c r="T208" s="296"/>
      <c r="U208" s="198"/>
      <c r="AD208" s="230"/>
      <c r="AE208" s="199"/>
      <c r="AF208" s="199"/>
    </row>
    <row r="209" spans="1:32" s="229" customFormat="1" ht="33" customHeight="1" x14ac:dyDescent="0.5">
      <c r="A209" s="294" t="s">
        <v>273</v>
      </c>
      <c r="B209" s="478"/>
      <c r="C209" s="245" t="s">
        <v>129</v>
      </c>
      <c r="D209" s="245" t="s">
        <v>43</v>
      </c>
      <c r="E209" s="47" t="s">
        <v>35</v>
      </c>
      <c r="F209" s="47" t="s">
        <v>39</v>
      </c>
      <c r="G209" s="110">
        <v>0.4548611111111111</v>
      </c>
      <c r="H209" s="110">
        <f>G209+90*"0:1:0"</f>
        <v>0.51736111111111116</v>
      </c>
      <c r="I209" s="366">
        <v>0.45208333333333334</v>
      </c>
      <c r="J209" s="366">
        <v>0.45208333333333334</v>
      </c>
      <c r="K209" s="366">
        <v>0.46805555555555556</v>
      </c>
      <c r="L209" s="366">
        <v>0.52777777777777779</v>
      </c>
      <c r="M209" s="366">
        <v>0.52916666666666667</v>
      </c>
      <c r="N209" s="365">
        <f t="shared" si="5"/>
        <v>7.7083333333333337E-2</v>
      </c>
      <c r="O209" s="45" t="s">
        <v>48</v>
      </c>
      <c r="P209" s="106" t="s">
        <v>48</v>
      </c>
      <c r="Q209" s="45">
        <v>1400</v>
      </c>
      <c r="R209" s="106">
        <v>1419</v>
      </c>
      <c r="S209" s="295" t="s">
        <v>275</v>
      </c>
      <c r="T209" s="296"/>
      <c r="U209" s="198"/>
      <c r="AD209" s="230"/>
      <c r="AE209" s="199"/>
      <c r="AF209" s="199"/>
    </row>
    <row r="210" spans="1:32" s="229" customFormat="1" ht="33" customHeight="1" x14ac:dyDescent="0.5">
      <c r="A210" s="294"/>
      <c r="B210" s="478"/>
      <c r="C210" s="245"/>
      <c r="D210" s="245"/>
      <c r="E210" s="47" t="s">
        <v>39</v>
      </c>
      <c r="F210" s="47" t="s">
        <v>41</v>
      </c>
      <c r="G210" s="110">
        <f>H209+45*"0:1:0"</f>
        <v>0.54861111111111116</v>
      </c>
      <c r="H210" s="110">
        <f>G210+25*"0:1:0"</f>
        <v>0.56597222222222232</v>
      </c>
      <c r="I210" s="366">
        <v>0.54791666666666672</v>
      </c>
      <c r="J210" s="366">
        <v>0.54791666666666672</v>
      </c>
      <c r="K210" s="366">
        <v>0.55138888888888893</v>
      </c>
      <c r="L210" s="366">
        <v>0.56874999999999998</v>
      </c>
      <c r="M210" s="366">
        <v>0.5708333333333333</v>
      </c>
      <c r="N210" s="365">
        <f t="shared" si="5"/>
        <v>2.2916666666666585E-2</v>
      </c>
      <c r="O210" s="45" t="s">
        <v>48</v>
      </c>
      <c r="P210" s="106" t="s">
        <v>48</v>
      </c>
      <c r="Q210" s="45" t="s">
        <v>48</v>
      </c>
      <c r="R210" s="106">
        <v>40</v>
      </c>
      <c r="S210" s="295" t="s">
        <v>192</v>
      </c>
      <c r="T210" s="296"/>
      <c r="U210" s="198"/>
      <c r="AD210" s="230"/>
      <c r="AE210" s="199"/>
      <c r="AF210" s="199"/>
    </row>
    <row r="211" spans="1:32" s="229" customFormat="1" ht="33" customHeight="1" x14ac:dyDescent="0.5">
      <c r="A211" s="294"/>
      <c r="B211" s="478"/>
      <c r="C211" s="202"/>
      <c r="D211" s="202"/>
      <c r="E211" s="259"/>
      <c r="F211" s="259"/>
      <c r="G211" s="77"/>
      <c r="H211" s="77"/>
      <c r="I211" s="360"/>
      <c r="J211" s="360"/>
      <c r="K211" s="360"/>
      <c r="L211" s="360"/>
      <c r="M211" s="360"/>
      <c r="N211" s="287"/>
      <c r="O211" s="53"/>
      <c r="P211" s="287"/>
      <c r="Q211" s="53"/>
      <c r="R211" s="287"/>
      <c r="S211" s="242"/>
      <c r="T211" s="260"/>
      <c r="U211" s="198"/>
      <c r="AD211" s="230"/>
      <c r="AE211" s="199"/>
      <c r="AF211" s="199"/>
    </row>
    <row r="212" spans="1:32" s="229" customFormat="1" ht="33" customHeight="1" x14ac:dyDescent="0.5">
      <c r="A212" s="294"/>
      <c r="B212" s="478"/>
      <c r="C212" s="202"/>
      <c r="D212" s="202"/>
      <c r="E212" s="259"/>
      <c r="F212" s="259"/>
      <c r="G212" s="77"/>
      <c r="H212" s="77"/>
      <c r="I212" s="360"/>
      <c r="J212" s="360"/>
      <c r="K212" s="360"/>
      <c r="L212" s="360"/>
      <c r="M212" s="360"/>
      <c r="N212" s="287"/>
      <c r="O212" s="53"/>
      <c r="P212" s="287"/>
      <c r="Q212" s="53"/>
      <c r="R212" s="287"/>
      <c r="S212" s="9" t="s">
        <v>107</v>
      </c>
      <c r="T212" s="275"/>
      <c r="U212" s="198"/>
      <c r="AD212" s="230"/>
      <c r="AE212" s="199"/>
      <c r="AF212" s="199"/>
    </row>
    <row r="213" spans="1:32" s="229" customFormat="1" ht="33" customHeight="1" x14ac:dyDescent="0.5">
      <c r="A213" s="294"/>
      <c r="B213" s="478"/>
      <c r="C213" s="202"/>
      <c r="D213" s="202"/>
      <c r="E213" s="259"/>
      <c r="F213" s="259"/>
      <c r="G213" s="77"/>
      <c r="H213" s="77"/>
      <c r="I213" s="360"/>
      <c r="J213" s="360"/>
      <c r="K213" s="360"/>
      <c r="L213" s="360"/>
      <c r="M213" s="360"/>
      <c r="N213" s="287"/>
      <c r="O213" s="53"/>
      <c r="P213" s="287"/>
      <c r="Q213" s="53"/>
      <c r="R213" s="287"/>
      <c r="S213" s="9" t="s">
        <v>108</v>
      </c>
      <c r="T213" s="275"/>
      <c r="U213" s="198"/>
      <c r="AD213" s="230"/>
      <c r="AE213" s="199"/>
      <c r="AF213" s="199"/>
    </row>
    <row r="214" spans="1:32" s="229" customFormat="1" ht="33" customHeight="1" x14ac:dyDescent="0.5">
      <c r="A214" s="294"/>
      <c r="B214" s="478"/>
      <c r="C214" s="202"/>
      <c r="D214" s="202"/>
      <c r="E214" s="259"/>
      <c r="F214" s="259"/>
      <c r="G214" s="77"/>
      <c r="H214" s="77"/>
      <c r="I214" s="360"/>
      <c r="J214" s="360"/>
      <c r="K214" s="360"/>
      <c r="L214" s="360"/>
      <c r="M214" s="360"/>
      <c r="N214" s="287"/>
      <c r="O214" s="53"/>
      <c r="P214" s="287"/>
      <c r="Q214" s="53"/>
      <c r="R214" s="287"/>
      <c r="S214" s="9" t="s">
        <v>109</v>
      </c>
      <c r="T214" s="275"/>
      <c r="U214" s="198"/>
      <c r="AD214" s="230"/>
      <c r="AE214" s="199"/>
      <c r="AF214" s="199"/>
    </row>
    <row r="215" spans="1:32" s="229" customFormat="1" ht="33" customHeight="1" x14ac:dyDescent="0.5">
      <c r="A215" s="294"/>
      <c r="B215" s="478"/>
      <c r="C215" s="202"/>
      <c r="D215" s="202"/>
      <c r="E215" s="259"/>
      <c r="F215" s="259"/>
      <c r="G215" s="77"/>
      <c r="H215" s="77"/>
      <c r="I215" s="360"/>
      <c r="J215" s="360"/>
      <c r="K215" s="360"/>
      <c r="L215" s="360"/>
      <c r="M215" s="360"/>
      <c r="N215" s="287"/>
      <c r="O215" s="53"/>
      <c r="P215" s="287"/>
      <c r="Q215" s="53"/>
      <c r="R215" s="287"/>
      <c r="S215" s="242"/>
      <c r="T215" s="260"/>
      <c r="U215" s="198"/>
      <c r="AD215" s="230"/>
      <c r="AE215" s="199"/>
      <c r="AF215" s="199"/>
    </row>
    <row r="216" spans="1:32" s="229" customFormat="1" ht="33" customHeight="1" x14ac:dyDescent="0.5">
      <c r="A216" s="294"/>
      <c r="B216" s="478"/>
      <c r="C216" s="202"/>
      <c r="D216" s="202"/>
      <c r="E216" s="259"/>
      <c r="F216" s="259"/>
      <c r="G216" s="77"/>
      <c r="H216" s="77"/>
      <c r="I216" s="360"/>
      <c r="J216" s="360"/>
      <c r="K216" s="360"/>
      <c r="L216" s="360"/>
      <c r="M216" s="360"/>
      <c r="N216" s="287"/>
      <c r="O216" s="53"/>
      <c r="P216" s="287"/>
      <c r="Q216" s="53"/>
      <c r="R216" s="287"/>
      <c r="S216" s="146" t="s">
        <v>73</v>
      </c>
      <c r="T216" s="237"/>
      <c r="U216" s="198"/>
      <c r="AD216" s="230"/>
      <c r="AE216" s="199"/>
      <c r="AF216" s="199"/>
    </row>
    <row r="217" spans="1:32" s="229" customFormat="1" ht="33" customHeight="1" x14ac:dyDescent="0.5">
      <c r="A217" s="294"/>
      <c r="B217" s="478"/>
      <c r="C217" s="202"/>
      <c r="D217" s="202"/>
      <c r="E217" s="259"/>
      <c r="F217" s="259"/>
      <c r="G217" s="77"/>
      <c r="H217" s="77"/>
      <c r="I217" s="360"/>
      <c r="J217" s="360"/>
      <c r="K217" s="360"/>
      <c r="L217" s="360"/>
      <c r="M217" s="360"/>
      <c r="N217" s="287"/>
      <c r="O217" s="53"/>
      <c r="P217" s="287"/>
      <c r="Q217" s="53"/>
      <c r="R217" s="287"/>
      <c r="S217" s="207" t="s">
        <v>74</v>
      </c>
      <c r="T217" s="238"/>
      <c r="U217" s="198"/>
      <c r="AD217" s="230"/>
      <c r="AE217" s="199"/>
      <c r="AF217" s="199"/>
    </row>
    <row r="218" spans="1:32" s="229" customFormat="1" ht="33" customHeight="1" x14ac:dyDescent="0.5">
      <c r="A218" s="294"/>
      <c r="B218" s="478"/>
      <c r="C218" s="202"/>
      <c r="D218" s="202"/>
      <c r="E218" s="259"/>
      <c r="F218" s="259"/>
      <c r="G218" s="77"/>
      <c r="H218" s="77"/>
      <c r="I218" s="360"/>
      <c r="J218" s="360"/>
      <c r="K218" s="360"/>
      <c r="L218" s="360"/>
      <c r="M218" s="360"/>
      <c r="N218" s="287"/>
      <c r="O218" s="53"/>
      <c r="P218" s="287"/>
      <c r="Q218" s="53"/>
      <c r="R218" s="287"/>
      <c r="S218" s="207" t="s">
        <v>75</v>
      </c>
      <c r="T218" s="238"/>
      <c r="U218" s="198"/>
      <c r="AD218" s="230"/>
      <c r="AE218" s="199"/>
      <c r="AF218" s="199"/>
    </row>
    <row r="219" spans="1:32" s="229" customFormat="1" ht="33" customHeight="1" x14ac:dyDescent="0.5">
      <c r="A219" s="294"/>
      <c r="B219" s="478"/>
      <c r="C219" s="202"/>
      <c r="D219" s="202"/>
      <c r="E219" s="259"/>
      <c r="F219" s="259"/>
      <c r="G219" s="77"/>
      <c r="H219" s="77"/>
      <c r="I219" s="360"/>
      <c r="J219" s="360"/>
      <c r="K219" s="360"/>
      <c r="L219" s="360"/>
      <c r="M219" s="360"/>
      <c r="N219" s="287"/>
      <c r="O219" s="53"/>
      <c r="P219" s="287"/>
      <c r="Q219" s="53"/>
      <c r="R219" s="287"/>
      <c r="S219" s="208" t="s">
        <v>76</v>
      </c>
      <c r="T219" s="238"/>
      <c r="U219" s="198"/>
      <c r="AD219" s="230"/>
      <c r="AE219" s="199"/>
      <c r="AF219" s="199"/>
    </row>
    <row r="220" spans="1:32" s="229" customFormat="1" ht="33" customHeight="1" x14ac:dyDescent="0.5">
      <c r="A220" s="294"/>
      <c r="B220" s="478"/>
      <c r="C220" s="202"/>
      <c r="D220" s="202"/>
      <c r="E220" s="259"/>
      <c r="F220" s="259"/>
      <c r="G220" s="77"/>
      <c r="H220" s="77"/>
      <c r="I220" s="360"/>
      <c r="J220" s="360"/>
      <c r="K220" s="360"/>
      <c r="L220" s="360"/>
      <c r="M220" s="360"/>
      <c r="N220" s="287"/>
      <c r="O220" s="53"/>
      <c r="P220" s="287"/>
      <c r="Q220" s="53"/>
      <c r="R220" s="287"/>
      <c r="S220" s="209" t="s">
        <v>77</v>
      </c>
      <c r="T220" s="238"/>
      <c r="U220" s="198"/>
      <c r="AD220" s="230"/>
      <c r="AE220" s="199"/>
      <c r="AF220" s="199"/>
    </row>
    <row r="221" spans="1:32" s="229" customFormat="1" ht="33" customHeight="1" x14ac:dyDescent="0.5">
      <c r="A221" s="294"/>
      <c r="B221" s="478"/>
      <c r="C221" s="202"/>
      <c r="D221" s="202"/>
      <c r="E221" s="259"/>
      <c r="F221" s="259"/>
      <c r="G221" s="77"/>
      <c r="H221" s="77"/>
      <c r="I221" s="360"/>
      <c r="J221" s="360"/>
      <c r="K221" s="360"/>
      <c r="L221" s="360"/>
      <c r="M221" s="360"/>
      <c r="N221" s="287"/>
      <c r="O221" s="53"/>
      <c r="P221" s="287"/>
      <c r="Q221" s="53"/>
      <c r="R221" s="287"/>
      <c r="S221" s="209" t="s">
        <v>78</v>
      </c>
      <c r="T221" s="238"/>
      <c r="U221" s="198"/>
      <c r="AD221" s="230"/>
      <c r="AE221" s="199"/>
      <c r="AF221" s="199"/>
    </row>
    <row r="222" spans="1:32" s="229" customFormat="1" ht="33" customHeight="1" x14ac:dyDescent="0.5">
      <c r="A222" s="294"/>
      <c r="B222" s="478"/>
      <c r="C222" s="202"/>
      <c r="D222" s="202"/>
      <c r="E222" s="259"/>
      <c r="F222" s="259"/>
      <c r="G222" s="77"/>
      <c r="H222" s="77"/>
      <c r="I222" s="360"/>
      <c r="J222" s="360"/>
      <c r="K222" s="360"/>
      <c r="L222" s="360"/>
      <c r="M222" s="360"/>
      <c r="N222" s="287"/>
      <c r="O222" s="53"/>
      <c r="P222" s="287"/>
      <c r="Q222" s="53"/>
      <c r="R222" s="287"/>
      <c r="S222" s="208" t="s">
        <v>168</v>
      </c>
      <c r="T222" s="239"/>
      <c r="U222" s="198"/>
      <c r="AD222" s="230"/>
      <c r="AE222" s="199"/>
      <c r="AF222" s="199"/>
    </row>
    <row r="223" spans="1:32" s="229" customFormat="1" ht="33" customHeight="1" x14ac:dyDescent="0.5">
      <c r="A223" s="294"/>
      <c r="B223" s="478"/>
      <c r="C223" s="202"/>
      <c r="D223" s="202"/>
      <c r="E223" s="259"/>
      <c r="F223" s="259"/>
      <c r="G223" s="77"/>
      <c r="H223" s="77"/>
      <c r="I223" s="360"/>
      <c r="J223" s="360"/>
      <c r="K223" s="360"/>
      <c r="L223" s="360"/>
      <c r="M223" s="360"/>
      <c r="N223" s="287"/>
      <c r="O223" s="53"/>
      <c r="P223" s="287"/>
      <c r="Q223" s="53"/>
      <c r="R223" s="287"/>
      <c r="S223" s="210" t="s">
        <v>169</v>
      </c>
      <c r="T223" s="239"/>
      <c r="U223" s="198"/>
      <c r="AD223" s="230"/>
      <c r="AE223" s="199"/>
      <c r="AF223" s="199"/>
    </row>
    <row r="224" spans="1:32" s="229" customFormat="1" ht="33" customHeight="1" x14ac:dyDescent="0.5">
      <c r="A224" s="294"/>
      <c r="B224" s="478"/>
      <c r="C224" s="202"/>
      <c r="D224" s="202"/>
      <c r="E224" s="259"/>
      <c r="F224" s="259"/>
      <c r="G224" s="77"/>
      <c r="H224" s="77"/>
      <c r="I224" s="360"/>
      <c r="J224" s="360"/>
      <c r="K224" s="360"/>
      <c r="L224" s="360"/>
      <c r="M224" s="360"/>
      <c r="N224" s="287"/>
      <c r="O224" s="53"/>
      <c r="P224" s="287"/>
      <c r="Q224" s="53"/>
      <c r="R224" s="287"/>
      <c r="S224" s="210" t="s">
        <v>170</v>
      </c>
      <c r="T224" s="239"/>
      <c r="U224" s="198"/>
      <c r="AD224" s="230"/>
      <c r="AE224" s="199"/>
      <c r="AF224" s="199"/>
    </row>
    <row r="225" spans="1:32" s="229" customFormat="1" ht="33" customHeight="1" x14ac:dyDescent="0.5">
      <c r="A225" s="294"/>
      <c r="B225" s="478"/>
      <c r="C225" s="202"/>
      <c r="D225" s="202"/>
      <c r="E225" s="259"/>
      <c r="F225" s="259"/>
      <c r="G225" s="77"/>
      <c r="H225" s="77"/>
      <c r="I225" s="360"/>
      <c r="J225" s="360"/>
      <c r="K225" s="360"/>
      <c r="L225" s="360"/>
      <c r="M225" s="360"/>
      <c r="N225" s="287"/>
      <c r="O225" s="53"/>
      <c r="P225" s="287"/>
      <c r="Q225" s="53"/>
      <c r="R225" s="287"/>
      <c r="S225" s="210" t="s">
        <v>171</v>
      </c>
      <c r="T225" s="239"/>
      <c r="U225" s="198"/>
      <c r="AD225" s="230"/>
      <c r="AE225" s="199"/>
      <c r="AF225" s="199"/>
    </row>
    <row r="226" spans="1:32" s="229" customFormat="1" ht="33" customHeight="1" x14ac:dyDescent="0.5">
      <c r="A226" s="294"/>
      <c r="B226" s="478"/>
      <c r="C226" s="202"/>
      <c r="D226" s="202"/>
      <c r="E226" s="259"/>
      <c r="F226" s="259"/>
      <c r="G226" s="77"/>
      <c r="H226" s="77"/>
      <c r="I226" s="360"/>
      <c r="J226" s="360"/>
      <c r="K226" s="360"/>
      <c r="L226" s="360"/>
      <c r="M226" s="360"/>
      <c r="N226" s="287"/>
      <c r="O226" s="53"/>
      <c r="P226" s="287"/>
      <c r="Q226" s="53"/>
      <c r="R226" s="287"/>
      <c r="S226" s="211" t="s">
        <v>175</v>
      </c>
      <c r="T226" s="240"/>
      <c r="U226" s="198"/>
      <c r="AD226" s="230"/>
      <c r="AE226" s="199"/>
      <c r="AF226" s="199"/>
    </row>
    <row r="227" spans="1:32" s="229" customFormat="1" ht="33" customHeight="1" x14ac:dyDescent="0.5">
      <c r="A227" s="294"/>
      <c r="B227" s="478"/>
      <c r="C227" s="202"/>
      <c r="D227" s="202"/>
      <c r="E227" s="259"/>
      <c r="F227" s="259"/>
      <c r="G227" s="77"/>
      <c r="H227" s="77"/>
      <c r="I227" s="360"/>
      <c r="J227" s="360"/>
      <c r="K227" s="360"/>
      <c r="L227" s="360"/>
      <c r="M227" s="360"/>
      <c r="N227" s="287"/>
      <c r="O227" s="53"/>
      <c r="P227" s="287"/>
      <c r="Q227" s="53"/>
      <c r="R227" s="287"/>
      <c r="S227" s="208" t="s">
        <v>176</v>
      </c>
      <c r="T227" s="240"/>
      <c r="U227" s="198"/>
      <c r="AD227" s="230"/>
      <c r="AE227" s="199"/>
      <c r="AF227" s="199"/>
    </row>
    <row r="228" spans="1:32" s="229" customFormat="1" ht="33" customHeight="1" x14ac:dyDescent="0.5">
      <c r="A228" s="294"/>
      <c r="B228" s="478"/>
      <c r="C228" s="202"/>
      <c r="D228" s="202"/>
      <c r="E228" s="259"/>
      <c r="F228" s="259"/>
      <c r="G228" s="77"/>
      <c r="H228" s="77"/>
      <c r="I228" s="360"/>
      <c r="J228" s="360"/>
      <c r="K228" s="360"/>
      <c r="L228" s="360"/>
      <c r="M228" s="360"/>
      <c r="N228" s="287"/>
      <c r="O228" s="53"/>
      <c r="P228" s="287"/>
      <c r="Q228" s="53"/>
      <c r="R228" s="287"/>
      <c r="S228" s="242"/>
      <c r="T228" s="260"/>
      <c r="U228" s="198"/>
      <c r="AD228" s="230"/>
      <c r="AE228" s="199"/>
      <c r="AF228" s="199"/>
    </row>
    <row r="229" spans="1:32" s="229" customFormat="1" ht="33" customHeight="1" x14ac:dyDescent="0.5">
      <c r="A229" s="294"/>
      <c r="B229" s="478"/>
      <c r="C229" s="202"/>
      <c r="D229" s="202"/>
      <c r="E229" s="259"/>
      <c r="F229" s="259"/>
      <c r="G229" s="77"/>
      <c r="H229" s="77"/>
      <c r="I229" s="360"/>
      <c r="J229" s="360"/>
      <c r="K229" s="360"/>
      <c r="L229" s="360"/>
      <c r="M229" s="360"/>
      <c r="N229" s="287"/>
      <c r="O229" s="53"/>
      <c r="P229" s="287"/>
      <c r="Q229" s="53"/>
      <c r="R229" s="287"/>
      <c r="S229" s="9" t="s">
        <v>83</v>
      </c>
      <c r="T229" s="217"/>
      <c r="U229" s="198"/>
      <c r="AD229" s="230"/>
      <c r="AE229" s="199"/>
      <c r="AF229" s="199"/>
    </row>
    <row r="230" spans="1:32" s="229" customFormat="1" ht="33" customHeight="1" x14ac:dyDescent="0.5">
      <c r="A230" s="294"/>
      <c r="B230" s="478"/>
      <c r="C230" s="202"/>
      <c r="D230" s="202"/>
      <c r="E230" s="259"/>
      <c r="F230" s="259"/>
      <c r="G230" s="77"/>
      <c r="H230" s="77"/>
      <c r="I230" s="360"/>
      <c r="J230" s="360"/>
      <c r="K230" s="360"/>
      <c r="L230" s="360"/>
      <c r="M230" s="360"/>
      <c r="N230" s="287"/>
      <c r="O230" s="53"/>
      <c r="P230" s="287"/>
      <c r="Q230" s="53"/>
      <c r="R230" s="287"/>
      <c r="S230" s="9" t="s">
        <v>84</v>
      </c>
      <c r="T230" s="275"/>
      <c r="U230" s="198"/>
      <c r="AD230" s="230"/>
      <c r="AE230" s="199"/>
      <c r="AF230" s="199"/>
    </row>
    <row r="231" spans="1:32" s="229" customFormat="1" ht="33" customHeight="1" x14ac:dyDescent="0.5">
      <c r="A231" s="294"/>
      <c r="B231" s="478"/>
      <c r="C231" s="202"/>
      <c r="D231" s="202"/>
      <c r="E231" s="259"/>
      <c r="F231" s="259"/>
      <c r="G231" s="77"/>
      <c r="H231" s="77"/>
      <c r="I231" s="360"/>
      <c r="J231" s="360"/>
      <c r="K231" s="360"/>
      <c r="L231" s="360"/>
      <c r="M231" s="360"/>
      <c r="N231" s="287"/>
      <c r="O231" s="53"/>
      <c r="P231" s="287"/>
      <c r="Q231" s="53"/>
      <c r="R231" s="287"/>
      <c r="S231" s="208" t="s">
        <v>85</v>
      </c>
      <c r="T231" s="297"/>
      <c r="U231" s="198"/>
      <c r="AD231" s="230"/>
      <c r="AE231" s="199"/>
      <c r="AF231" s="199"/>
    </row>
    <row r="232" spans="1:32" s="229" customFormat="1" ht="33" customHeight="1" x14ac:dyDescent="0.5">
      <c r="A232" s="294"/>
      <c r="B232" s="478"/>
      <c r="C232" s="202"/>
      <c r="D232" s="202"/>
      <c r="E232" s="259"/>
      <c r="F232" s="259"/>
      <c r="G232" s="77"/>
      <c r="H232" s="77"/>
      <c r="I232" s="360"/>
      <c r="J232" s="360"/>
      <c r="K232" s="360"/>
      <c r="L232" s="360"/>
      <c r="M232" s="360"/>
      <c r="N232" s="287"/>
      <c r="O232" s="53"/>
      <c r="P232" s="287"/>
      <c r="Q232" s="53"/>
      <c r="R232" s="287"/>
      <c r="S232" s="208" t="s">
        <v>86</v>
      </c>
      <c r="T232" s="237"/>
      <c r="U232" s="198"/>
      <c r="AD232" s="230"/>
      <c r="AE232" s="199"/>
      <c r="AF232" s="199"/>
    </row>
    <row r="233" spans="1:32" s="229" customFormat="1" ht="33" customHeight="1" x14ac:dyDescent="0.5">
      <c r="A233" s="294"/>
      <c r="B233" s="478"/>
      <c r="C233" s="202"/>
      <c r="D233" s="202"/>
      <c r="E233" s="259"/>
      <c r="F233" s="259"/>
      <c r="G233" s="77"/>
      <c r="H233" s="77"/>
      <c r="I233" s="360"/>
      <c r="J233" s="360"/>
      <c r="K233" s="360"/>
      <c r="L233" s="360"/>
      <c r="M233" s="360"/>
      <c r="N233" s="287"/>
      <c r="O233" s="53"/>
      <c r="P233" s="287"/>
      <c r="Q233" s="53"/>
      <c r="R233" s="287"/>
      <c r="S233" s="208" t="s">
        <v>87</v>
      </c>
      <c r="T233" s="5"/>
      <c r="U233" s="198"/>
      <c r="AD233" s="230"/>
      <c r="AE233" s="199"/>
      <c r="AF233" s="199"/>
    </row>
    <row r="234" spans="1:32" s="229" customFormat="1" ht="33" customHeight="1" x14ac:dyDescent="0.5">
      <c r="A234" s="294"/>
      <c r="B234" s="478"/>
      <c r="C234" s="202"/>
      <c r="D234" s="202"/>
      <c r="E234" s="259"/>
      <c r="F234" s="259"/>
      <c r="G234" s="77"/>
      <c r="H234" s="77"/>
      <c r="I234" s="360"/>
      <c r="J234" s="360"/>
      <c r="K234" s="360"/>
      <c r="L234" s="360"/>
      <c r="M234" s="360"/>
      <c r="N234" s="287"/>
      <c r="O234" s="53"/>
      <c r="P234" s="287"/>
      <c r="Q234" s="53"/>
      <c r="R234" s="287"/>
      <c r="S234" s="208" t="s">
        <v>116</v>
      </c>
      <c r="T234" s="5"/>
      <c r="U234" s="198"/>
      <c r="AD234" s="230"/>
      <c r="AE234" s="199"/>
      <c r="AF234" s="199"/>
    </row>
    <row r="235" spans="1:32" s="229" customFormat="1" ht="33" customHeight="1" x14ac:dyDescent="0.5">
      <c r="A235" s="294"/>
      <c r="B235" s="478"/>
      <c r="C235" s="202"/>
      <c r="D235" s="202"/>
      <c r="E235" s="259"/>
      <c r="F235" s="259"/>
      <c r="G235" s="77"/>
      <c r="H235" s="77"/>
      <c r="I235" s="360"/>
      <c r="J235" s="360"/>
      <c r="K235" s="360"/>
      <c r="L235" s="360"/>
      <c r="M235" s="360"/>
      <c r="N235" s="287"/>
      <c r="O235" s="53"/>
      <c r="P235" s="287"/>
      <c r="Q235" s="53"/>
      <c r="R235" s="287"/>
      <c r="S235" s="208" t="s">
        <v>117</v>
      </c>
      <c r="T235" s="5"/>
      <c r="U235" s="198"/>
      <c r="AD235" s="230"/>
      <c r="AE235" s="199"/>
      <c r="AF235" s="199"/>
    </row>
    <row r="236" spans="1:32" s="229" customFormat="1" ht="33" customHeight="1" x14ac:dyDescent="0.5">
      <c r="A236" s="294"/>
      <c r="B236" s="478"/>
      <c r="C236" s="202"/>
      <c r="D236" s="202"/>
      <c r="E236" s="259"/>
      <c r="F236" s="259"/>
      <c r="G236" s="77"/>
      <c r="H236" s="77"/>
      <c r="I236" s="360"/>
      <c r="J236" s="360"/>
      <c r="K236" s="360"/>
      <c r="L236" s="360"/>
      <c r="M236" s="360"/>
      <c r="N236" s="287"/>
      <c r="O236" s="53"/>
      <c r="P236" s="287"/>
      <c r="Q236" s="53"/>
      <c r="R236" s="287"/>
      <c r="S236" s="208" t="s">
        <v>118</v>
      </c>
      <c r="T236" s="237"/>
      <c r="U236" s="198"/>
      <c r="AD236" s="230"/>
      <c r="AE236" s="199"/>
      <c r="AF236" s="199"/>
    </row>
    <row r="237" spans="1:32" s="229" customFormat="1" ht="33" customHeight="1" x14ac:dyDescent="0.5">
      <c r="A237" s="294"/>
      <c r="B237" s="478"/>
      <c r="C237" s="202"/>
      <c r="D237" s="202"/>
      <c r="E237" s="259"/>
      <c r="F237" s="259"/>
      <c r="G237" s="77"/>
      <c r="H237" s="77"/>
      <c r="I237" s="360"/>
      <c r="J237" s="360"/>
      <c r="K237" s="360"/>
      <c r="L237" s="360"/>
      <c r="M237" s="360"/>
      <c r="N237" s="287"/>
      <c r="O237" s="53"/>
      <c r="P237" s="287"/>
      <c r="Q237" s="53"/>
      <c r="R237" s="287"/>
      <c r="S237" s="9" t="s">
        <v>119</v>
      </c>
      <c r="T237" s="237"/>
      <c r="U237" s="198"/>
      <c r="AD237" s="230"/>
      <c r="AE237" s="199"/>
      <c r="AF237" s="199"/>
    </row>
    <row r="238" spans="1:32" s="229" customFormat="1" ht="33" customHeight="1" x14ac:dyDescent="0.5">
      <c r="A238" s="294"/>
      <c r="B238" s="478"/>
      <c r="C238" s="202"/>
      <c r="D238" s="202"/>
      <c r="E238" s="259"/>
      <c r="F238" s="259"/>
      <c r="G238" s="77"/>
      <c r="H238" s="77"/>
      <c r="I238" s="360"/>
      <c r="J238" s="360"/>
      <c r="K238" s="360"/>
      <c r="L238" s="360"/>
      <c r="M238" s="360"/>
      <c r="N238" s="287"/>
      <c r="O238" s="53"/>
      <c r="P238" s="287"/>
      <c r="Q238" s="53"/>
      <c r="R238" s="287"/>
      <c r="S238" s="184" t="s">
        <v>88</v>
      </c>
      <c r="T238" s="237"/>
      <c r="U238" s="198"/>
      <c r="AD238" s="230"/>
      <c r="AE238" s="199"/>
      <c r="AF238" s="199"/>
    </row>
    <row r="239" spans="1:32" s="229" customFormat="1" ht="33" customHeight="1" x14ac:dyDescent="0.5">
      <c r="A239" s="294"/>
      <c r="B239" s="478"/>
      <c r="C239" s="202"/>
      <c r="D239" s="202"/>
      <c r="E239" s="259"/>
      <c r="F239" s="259"/>
      <c r="G239" s="77"/>
      <c r="H239" s="77"/>
      <c r="I239" s="360"/>
      <c r="J239" s="360"/>
      <c r="K239" s="360"/>
      <c r="L239" s="360"/>
      <c r="M239" s="360"/>
      <c r="N239" s="287"/>
      <c r="O239" s="53"/>
      <c r="P239" s="287"/>
      <c r="Q239" s="53"/>
      <c r="R239" s="287"/>
      <c r="S239" s="184" t="s">
        <v>120</v>
      </c>
      <c r="T239" s="237"/>
      <c r="U239" s="198"/>
      <c r="AD239" s="230"/>
      <c r="AE239" s="199"/>
      <c r="AF239" s="199"/>
    </row>
    <row r="240" spans="1:32" s="229" customFormat="1" ht="33" customHeight="1" x14ac:dyDescent="0.5">
      <c r="A240" s="294"/>
      <c r="B240" s="478"/>
      <c r="C240" s="202"/>
      <c r="D240" s="202"/>
      <c r="E240" s="259"/>
      <c r="F240" s="259"/>
      <c r="G240" s="77"/>
      <c r="H240" s="77"/>
      <c r="I240" s="360"/>
      <c r="J240" s="360"/>
      <c r="K240" s="360"/>
      <c r="L240" s="360"/>
      <c r="M240" s="360"/>
      <c r="N240" s="287"/>
      <c r="O240" s="53"/>
      <c r="P240" s="287"/>
      <c r="Q240" s="53"/>
      <c r="R240" s="287"/>
      <c r="S240" s="184" t="s">
        <v>121</v>
      </c>
      <c r="T240" s="237"/>
      <c r="U240" s="198"/>
      <c r="AD240" s="230"/>
      <c r="AE240" s="199"/>
      <c r="AF240" s="199"/>
    </row>
    <row r="241" spans="1:32" s="229" customFormat="1" ht="33" customHeight="1" x14ac:dyDescent="0.5">
      <c r="A241" s="294"/>
      <c r="B241" s="478"/>
      <c r="C241" s="202"/>
      <c r="D241" s="202"/>
      <c r="E241" s="259"/>
      <c r="F241" s="259"/>
      <c r="G241" s="77"/>
      <c r="H241" s="77"/>
      <c r="I241" s="360"/>
      <c r="J241" s="360"/>
      <c r="K241" s="360"/>
      <c r="L241" s="360"/>
      <c r="M241" s="360"/>
      <c r="N241" s="287"/>
      <c r="O241" s="53"/>
      <c r="P241" s="287"/>
      <c r="Q241" s="53"/>
      <c r="R241" s="287"/>
      <c r="S241" s="184" t="s">
        <v>122</v>
      </c>
      <c r="T241" s="237"/>
      <c r="U241" s="198"/>
      <c r="AD241" s="230"/>
      <c r="AE241" s="199"/>
      <c r="AF241" s="199"/>
    </row>
    <row r="242" spans="1:32" s="229" customFormat="1" ht="33" customHeight="1" x14ac:dyDescent="0.5">
      <c r="A242" s="294"/>
      <c r="B242" s="478"/>
      <c r="C242" s="202"/>
      <c r="D242" s="202"/>
      <c r="E242" s="259"/>
      <c r="F242" s="259"/>
      <c r="G242" s="77"/>
      <c r="H242" s="77"/>
      <c r="I242" s="360"/>
      <c r="J242" s="360"/>
      <c r="K242" s="360"/>
      <c r="L242" s="360"/>
      <c r="M242" s="360"/>
      <c r="N242" s="287"/>
      <c r="O242" s="53"/>
      <c r="P242" s="287"/>
      <c r="Q242" s="53"/>
      <c r="R242" s="287"/>
      <c r="S242" s="298" t="s">
        <v>89</v>
      </c>
      <c r="T242" s="275"/>
      <c r="U242" s="198"/>
      <c r="AD242" s="230"/>
      <c r="AE242" s="199"/>
      <c r="AF242" s="199"/>
    </row>
    <row r="243" spans="1:32" s="229" customFormat="1" ht="33" customHeight="1" x14ac:dyDescent="0.5">
      <c r="A243" s="294"/>
      <c r="B243" s="478"/>
      <c r="C243" s="202"/>
      <c r="D243" s="202"/>
      <c r="E243" s="259"/>
      <c r="F243" s="259"/>
      <c r="G243" s="77"/>
      <c r="H243" s="77"/>
      <c r="I243" s="360"/>
      <c r="J243" s="360"/>
      <c r="K243" s="360"/>
      <c r="L243" s="360"/>
      <c r="M243" s="360"/>
      <c r="N243" s="287"/>
      <c r="O243" s="53"/>
      <c r="P243" s="287"/>
      <c r="Q243" s="53"/>
      <c r="R243" s="287"/>
      <c r="S243" s="298" t="s">
        <v>90</v>
      </c>
      <c r="T243" s="237"/>
      <c r="U243" s="198"/>
      <c r="AD243" s="230"/>
      <c r="AE243" s="199"/>
      <c r="AF243" s="199"/>
    </row>
    <row r="244" spans="1:32" s="229" customFormat="1" ht="33" customHeight="1" x14ac:dyDescent="0.5">
      <c r="A244" s="294"/>
      <c r="B244" s="478"/>
      <c r="C244" s="202"/>
      <c r="D244" s="202"/>
      <c r="E244" s="259"/>
      <c r="F244" s="259"/>
      <c r="G244" s="77"/>
      <c r="H244" s="77"/>
      <c r="I244" s="360"/>
      <c r="J244" s="360"/>
      <c r="K244" s="360"/>
      <c r="L244" s="360"/>
      <c r="M244" s="360"/>
      <c r="N244" s="287"/>
      <c r="O244" s="53"/>
      <c r="P244" s="287"/>
      <c r="Q244" s="53"/>
      <c r="R244" s="287"/>
      <c r="S244" s="242"/>
      <c r="T244" s="260"/>
      <c r="U244" s="198"/>
      <c r="AD244" s="230"/>
      <c r="AE244" s="199"/>
      <c r="AF244" s="199"/>
    </row>
    <row r="245" spans="1:32" s="229" customFormat="1" ht="33" customHeight="1" x14ac:dyDescent="0.5">
      <c r="A245" s="294"/>
      <c r="B245" s="478"/>
      <c r="C245" s="202"/>
      <c r="D245" s="202"/>
      <c r="E245" s="259"/>
      <c r="F245" s="259"/>
      <c r="G245" s="77"/>
      <c r="H245" s="77"/>
      <c r="I245" s="360"/>
      <c r="J245" s="360"/>
      <c r="K245" s="360"/>
      <c r="L245" s="360"/>
      <c r="M245" s="360"/>
      <c r="N245" s="287"/>
      <c r="O245" s="53"/>
      <c r="P245" s="287"/>
      <c r="Q245" s="53"/>
      <c r="R245" s="287"/>
      <c r="S245" s="208" t="s">
        <v>115</v>
      </c>
      <c r="T245" s="260"/>
      <c r="U245" s="198"/>
      <c r="AD245" s="230"/>
      <c r="AE245" s="199"/>
      <c r="AF245" s="199"/>
    </row>
    <row r="246" spans="1:32" s="229" customFormat="1" ht="33" customHeight="1" x14ac:dyDescent="0.5">
      <c r="A246" s="294"/>
      <c r="B246" s="478"/>
      <c r="C246" s="202"/>
      <c r="D246" s="202"/>
      <c r="E246" s="259"/>
      <c r="F246" s="259"/>
      <c r="G246" s="77"/>
      <c r="H246" s="77"/>
      <c r="I246" s="360"/>
      <c r="J246" s="360"/>
      <c r="K246" s="360"/>
      <c r="L246" s="360"/>
      <c r="M246" s="360"/>
      <c r="N246" s="287"/>
      <c r="O246" s="53"/>
      <c r="P246" s="287"/>
      <c r="Q246" s="53"/>
      <c r="R246" s="287"/>
      <c r="S246" s="242"/>
      <c r="T246" s="260"/>
      <c r="U246" s="198"/>
      <c r="AD246" s="230"/>
      <c r="AE246" s="199"/>
      <c r="AF246" s="199"/>
    </row>
    <row r="247" spans="1:32" s="229" customFormat="1" ht="33" customHeight="1" x14ac:dyDescent="0.5">
      <c r="A247" s="294"/>
      <c r="B247" s="478"/>
      <c r="C247" s="202"/>
      <c r="D247" s="202"/>
      <c r="E247" s="259"/>
      <c r="F247" s="259"/>
      <c r="G247" s="77"/>
      <c r="H247" s="77"/>
      <c r="I247" s="360"/>
      <c r="J247" s="360"/>
      <c r="K247" s="360"/>
      <c r="L247" s="360"/>
      <c r="M247" s="360"/>
      <c r="N247" s="287"/>
      <c r="O247" s="53"/>
      <c r="P247" s="287"/>
      <c r="Q247" s="53"/>
      <c r="R247" s="287"/>
      <c r="S247" s="212" t="s">
        <v>201</v>
      </c>
      <c r="T247" s="213" t="s">
        <v>190</v>
      </c>
      <c r="U247" s="198"/>
      <c r="AD247" s="230"/>
      <c r="AE247" s="199"/>
      <c r="AF247" s="199"/>
    </row>
    <row r="248" spans="1:32" s="229" customFormat="1" ht="33" customHeight="1" x14ac:dyDescent="0.5">
      <c r="A248" s="294"/>
      <c r="B248" s="478"/>
      <c r="C248" s="202"/>
      <c r="D248" s="202"/>
      <c r="E248" s="259"/>
      <c r="F248" s="259"/>
      <c r="G248" s="77"/>
      <c r="H248" s="77"/>
      <c r="I248" s="360"/>
      <c r="J248" s="360"/>
      <c r="K248" s="360"/>
      <c r="L248" s="360"/>
      <c r="M248" s="360"/>
      <c r="N248" s="287"/>
      <c r="O248" s="53"/>
      <c r="P248" s="287"/>
      <c r="Q248" s="53"/>
      <c r="R248" s="287"/>
      <c r="S248" s="212" t="s">
        <v>191</v>
      </c>
      <c r="T248" s="213" t="s">
        <v>190</v>
      </c>
      <c r="U248" s="198"/>
      <c r="AD248" s="230"/>
      <c r="AE248" s="199"/>
      <c r="AF248" s="199"/>
    </row>
    <row r="249" spans="1:32" s="229" customFormat="1" ht="33" customHeight="1" x14ac:dyDescent="0.5">
      <c r="A249" s="294"/>
      <c r="B249" s="478"/>
      <c r="C249" s="202"/>
      <c r="D249" s="202"/>
      <c r="E249" s="259"/>
      <c r="F249" s="259"/>
      <c r="G249" s="77"/>
      <c r="H249" s="77"/>
      <c r="I249" s="360"/>
      <c r="J249" s="360"/>
      <c r="K249" s="360"/>
      <c r="L249" s="360"/>
      <c r="M249" s="360"/>
      <c r="N249" s="287"/>
      <c r="O249" s="53"/>
      <c r="P249" s="287"/>
      <c r="Q249" s="53"/>
      <c r="R249" s="287"/>
      <c r="S249" s="212" t="s">
        <v>200</v>
      </c>
      <c r="T249" s="213" t="s">
        <v>190</v>
      </c>
      <c r="U249" s="198"/>
      <c r="AD249" s="230"/>
      <c r="AE249" s="199"/>
      <c r="AF249" s="199"/>
    </row>
    <row r="250" spans="1:32" s="229" customFormat="1" ht="33" customHeight="1" x14ac:dyDescent="0.5">
      <c r="A250" s="294"/>
      <c r="B250" s="478"/>
      <c r="C250" s="202"/>
      <c r="D250" s="202"/>
      <c r="E250" s="259"/>
      <c r="F250" s="259"/>
      <c r="G250" s="77"/>
      <c r="H250" s="77"/>
      <c r="I250" s="360"/>
      <c r="J250" s="360"/>
      <c r="K250" s="360"/>
      <c r="L250" s="360"/>
      <c r="M250" s="360"/>
      <c r="N250" s="287"/>
      <c r="O250" s="53"/>
      <c r="P250" s="287"/>
      <c r="Q250" s="53"/>
      <c r="R250" s="287"/>
      <c r="S250" s="242"/>
      <c r="T250" s="260"/>
      <c r="U250" s="198"/>
      <c r="AD250" s="230"/>
      <c r="AE250" s="199"/>
      <c r="AF250" s="199"/>
    </row>
    <row r="251" spans="1:32" s="229" customFormat="1" ht="33" customHeight="1" x14ac:dyDescent="0.5">
      <c r="A251" s="294"/>
      <c r="B251" s="478"/>
      <c r="C251" s="202"/>
      <c r="D251" s="202"/>
      <c r="E251" s="259"/>
      <c r="F251" s="259"/>
      <c r="G251" s="77"/>
      <c r="H251" s="77"/>
      <c r="I251" s="360"/>
      <c r="J251" s="360"/>
      <c r="K251" s="360"/>
      <c r="L251" s="360"/>
      <c r="M251" s="360"/>
      <c r="N251" s="287"/>
      <c r="O251" s="53"/>
      <c r="P251" s="287"/>
      <c r="Q251" s="53"/>
      <c r="R251" s="287"/>
      <c r="S251" s="184" t="s">
        <v>321</v>
      </c>
      <c r="T251" s="134"/>
      <c r="U251" s="198"/>
      <c r="AD251" s="230"/>
      <c r="AE251" s="199"/>
      <c r="AF251" s="199"/>
    </row>
    <row r="252" spans="1:32" s="229" customFormat="1" ht="33" customHeight="1" x14ac:dyDescent="0.5">
      <c r="A252" s="294"/>
      <c r="B252" s="478"/>
      <c r="C252" s="202"/>
      <c r="D252" s="202"/>
      <c r="E252" s="259"/>
      <c r="F252" s="259"/>
      <c r="G252" s="77"/>
      <c r="H252" s="77"/>
      <c r="I252" s="360"/>
      <c r="J252" s="360"/>
      <c r="K252" s="360"/>
      <c r="L252" s="360"/>
      <c r="M252" s="360"/>
      <c r="N252" s="287"/>
      <c r="O252" s="53"/>
      <c r="P252" s="287"/>
      <c r="Q252" s="53"/>
      <c r="R252" s="287"/>
      <c r="S252" s="184" t="s">
        <v>322</v>
      </c>
      <c r="T252" s="134"/>
      <c r="U252" s="198"/>
      <c r="AD252" s="230"/>
      <c r="AE252" s="199"/>
      <c r="AF252" s="199"/>
    </row>
    <row r="253" spans="1:32" s="229" customFormat="1" ht="33" customHeight="1" x14ac:dyDescent="0.5">
      <c r="A253" s="294"/>
      <c r="B253" s="478"/>
      <c r="C253" s="202"/>
      <c r="D253" s="202"/>
      <c r="E253" s="259"/>
      <c r="F253" s="259"/>
      <c r="G253" s="77"/>
      <c r="H253" s="77"/>
      <c r="I253" s="360"/>
      <c r="J253" s="360"/>
      <c r="K253" s="360"/>
      <c r="L253" s="360"/>
      <c r="M253" s="360"/>
      <c r="N253" s="287"/>
      <c r="O253" s="53"/>
      <c r="P253" s="287"/>
      <c r="Q253" s="53"/>
      <c r="R253" s="287"/>
      <c r="S253" s="242"/>
      <c r="T253" s="260"/>
      <c r="U253" s="198"/>
      <c r="AD253" s="230"/>
      <c r="AE253" s="199"/>
      <c r="AF253" s="199"/>
    </row>
    <row r="254" spans="1:32" s="229" customFormat="1" ht="33" customHeight="1" x14ac:dyDescent="0.5">
      <c r="A254" s="294"/>
      <c r="B254" s="478"/>
      <c r="C254" s="279"/>
      <c r="D254" s="279"/>
      <c r="E254" s="299"/>
      <c r="F254" s="299"/>
      <c r="G254" s="77"/>
      <c r="H254" s="77"/>
      <c r="I254" s="360"/>
      <c r="J254" s="360"/>
      <c r="K254" s="360"/>
      <c r="L254" s="360"/>
      <c r="M254" s="360"/>
      <c r="N254" s="360"/>
      <c r="O254" s="14"/>
      <c r="P254" s="287"/>
      <c r="Q254" s="53"/>
      <c r="R254" s="287"/>
      <c r="S254" s="216" t="s">
        <v>0</v>
      </c>
      <c r="T254" s="217">
        <f xml:space="preserve"> SUM(H207:H255)-SUM($G207:$G255)</f>
        <v>0.15972222222222232</v>
      </c>
      <c r="U254" s="291"/>
      <c r="AD254" s="230"/>
      <c r="AE254" s="199"/>
      <c r="AF254" s="199"/>
    </row>
    <row r="255" spans="1:32" s="229" customFormat="1" ht="33" customHeight="1" thickBot="1" x14ac:dyDescent="0.55000000000000004">
      <c r="A255" s="300"/>
      <c r="B255" s="479"/>
      <c r="C255" s="301"/>
      <c r="D255" s="301"/>
      <c r="E255" s="302"/>
      <c r="F255" s="302"/>
      <c r="G255" s="79"/>
      <c r="H255" s="79"/>
      <c r="I255" s="363"/>
      <c r="J255" s="363"/>
      <c r="K255" s="363"/>
      <c r="L255" s="363"/>
      <c r="M255" s="363"/>
      <c r="N255" s="363"/>
      <c r="O255" s="64"/>
      <c r="P255" s="305"/>
      <c r="Q255" s="80"/>
      <c r="R255" s="305"/>
      <c r="S255" s="303" t="s">
        <v>4</v>
      </c>
      <c r="T255" s="223">
        <f xml:space="preserve"> SUM(M207:M255)-SUM($J207:$J255)</f>
        <v>0.19861111111111107</v>
      </c>
      <c r="U255" s="291"/>
      <c r="AD255" s="230"/>
      <c r="AE255" s="199"/>
      <c r="AF255" s="199"/>
    </row>
    <row r="256" spans="1:32" s="229" customFormat="1" ht="33" customHeight="1" x14ac:dyDescent="0.5">
      <c r="A256" s="292" t="s">
        <v>141</v>
      </c>
      <c r="B256" s="477" t="s">
        <v>212</v>
      </c>
      <c r="C256" s="293"/>
      <c r="D256" s="293"/>
      <c r="E256" s="255"/>
      <c r="F256" s="255"/>
      <c r="G256" s="74"/>
      <c r="H256" s="74"/>
      <c r="I256" s="359"/>
      <c r="J256" s="359"/>
      <c r="K256" s="359"/>
      <c r="L256" s="359"/>
      <c r="M256" s="359"/>
      <c r="N256" s="381"/>
      <c r="O256" s="48"/>
      <c r="P256" s="381"/>
      <c r="Q256" s="48"/>
      <c r="R256" s="381"/>
      <c r="S256" s="256"/>
      <c r="T256" s="257"/>
      <c r="U256" s="198"/>
      <c r="AD256" s="230"/>
      <c r="AE256" s="199"/>
      <c r="AF256" s="199"/>
    </row>
    <row r="257" spans="1:32" s="229" customFormat="1" ht="33" customHeight="1" x14ac:dyDescent="0.5">
      <c r="A257" s="294" t="s">
        <v>140</v>
      </c>
      <c r="B257" s="478"/>
      <c r="C257" s="245" t="s">
        <v>52</v>
      </c>
      <c r="D257" s="245" t="s">
        <v>43</v>
      </c>
      <c r="E257" s="47" t="s">
        <v>40</v>
      </c>
      <c r="F257" s="47" t="s">
        <v>35</v>
      </c>
      <c r="G257" s="110">
        <v>0.33333333333333331</v>
      </c>
      <c r="H257" s="110">
        <f>G257+55*"0:1:0"</f>
        <v>0.37152777777777779</v>
      </c>
      <c r="I257" s="366">
        <v>0.31527777777777777</v>
      </c>
      <c r="J257" s="366">
        <v>0.31527777777777777</v>
      </c>
      <c r="K257" s="366">
        <v>0.31805555555555554</v>
      </c>
      <c r="L257" s="366">
        <v>0.35416666666666669</v>
      </c>
      <c r="M257" s="366">
        <v>0.35694444444444445</v>
      </c>
      <c r="N257" s="365">
        <f t="shared" ref="N257:N259" si="6">SUM(M257-J257)</f>
        <v>4.1666666666666685E-2</v>
      </c>
      <c r="O257" s="45" t="s">
        <v>48</v>
      </c>
      <c r="P257" s="106" t="s">
        <v>48</v>
      </c>
      <c r="Q257" s="45" t="s">
        <v>48</v>
      </c>
      <c r="R257" s="106" t="s">
        <v>48</v>
      </c>
      <c r="S257" s="235" t="s">
        <v>242</v>
      </c>
      <c r="T257" s="271"/>
      <c r="U257" s="198"/>
      <c r="AD257" s="230"/>
      <c r="AE257" s="199"/>
      <c r="AF257" s="199"/>
    </row>
    <row r="258" spans="1:32" s="229" customFormat="1" ht="33" customHeight="1" x14ac:dyDescent="0.5">
      <c r="A258" s="294" t="s">
        <v>177</v>
      </c>
      <c r="B258" s="478"/>
      <c r="C258" s="245"/>
      <c r="D258" s="245"/>
      <c r="E258" s="47" t="s">
        <v>35</v>
      </c>
      <c r="F258" s="47" t="s">
        <v>37</v>
      </c>
      <c r="G258" s="110">
        <v>0.41319444444444442</v>
      </c>
      <c r="H258" s="110">
        <f>G258+90*"0:1:0"</f>
        <v>0.47569444444444442</v>
      </c>
      <c r="I258" s="366">
        <v>0.38263888888888886</v>
      </c>
      <c r="J258" s="366">
        <v>0.38263888888888886</v>
      </c>
      <c r="K258" s="366">
        <v>0.38611111111111113</v>
      </c>
      <c r="L258" s="366">
        <v>0.44513888888888886</v>
      </c>
      <c r="M258" s="366">
        <v>0.44722222222222224</v>
      </c>
      <c r="N258" s="365">
        <f t="shared" si="6"/>
        <v>6.4583333333333381E-2</v>
      </c>
      <c r="O258" s="45" t="s">
        <v>48</v>
      </c>
      <c r="P258" s="106" t="s">
        <v>48</v>
      </c>
      <c r="Q258" s="45">
        <v>1500</v>
      </c>
      <c r="R258" s="106">
        <v>1482</v>
      </c>
      <c r="S258" s="235" t="s">
        <v>254</v>
      </c>
      <c r="T258" s="271"/>
      <c r="U258" s="198"/>
      <c r="AD258" s="230"/>
      <c r="AE258" s="199"/>
      <c r="AF258" s="199"/>
    </row>
    <row r="259" spans="1:32" s="229" customFormat="1" ht="33" customHeight="1" x14ac:dyDescent="0.5">
      <c r="A259" s="294"/>
      <c r="B259" s="478"/>
      <c r="C259" s="245"/>
      <c r="D259" s="245"/>
      <c r="E259" s="47" t="s">
        <v>37</v>
      </c>
      <c r="F259" s="47" t="s">
        <v>40</v>
      </c>
      <c r="G259" s="110">
        <f>H258+45*"0:1:0"</f>
        <v>0.50694444444444442</v>
      </c>
      <c r="H259" s="110">
        <f>G259+50*"0:1:0"</f>
        <v>0.54166666666666663</v>
      </c>
      <c r="I259" s="366">
        <v>0.46597222222222223</v>
      </c>
      <c r="J259" s="366">
        <v>0.46597222222222223</v>
      </c>
      <c r="K259" s="366">
        <v>0.46805555555555556</v>
      </c>
      <c r="L259" s="366">
        <v>0.49930555555555556</v>
      </c>
      <c r="M259" s="366">
        <v>0.50138888888888888</v>
      </c>
      <c r="N259" s="365">
        <f t="shared" si="6"/>
        <v>3.5416666666666652E-2</v>
      </c>
      <c r="O259" s="45" t="s">
        <v>48</v>
      </c>
      <c r="P259" s="106" t="s">
        <v>48</v>
      </c>
      <c r="Q259" s="45" t="s">
        <v>48</v>
      </c>
      <c r="R259" s="106" t="s">
        <v>48</v>
      </c>
      <c r="S259" s="235" t="s">
        <v>192</v>
      </c>
      <c r="T259" s="271"/>
      <c r="U259" s="198"/>
      <c r="AD259" s="230"/>
      <c r="AE259" s="199"/>
      <c r="AF259" s="199"/>
    </row>
    <row r="260" spans="1:32" s="229" customFormat="1" ht="33" customHeight="1" x14ac:dyDescent="0.5">
      <c r="A260" s="294"/>
      <c r="B260" s="478"/>
      <c r="C260" s="202"/>
      <c r="D260" s="202"/>
      <c r="E260" s="259"/>
      <c r="F260" s="259"/>
      <c r="G260" s="77"/>
      <c r="H260" s="77"/>
      <c r="I260" s="360"/>
      <c r="J260" s="360"/>
      <c r="K260" s="360"/>
      <c r="L260" s="360"/>
      <c r="M260" s="360"/>
      <c r="N260" s="287"/>
      <c r="O260" s="53"/>
      <c r="P260" s="287"/>
      <c r="Q260" s="53"/>
      <c r="R260" s="287"/>
      <c r="S260" s="242"/>
      <c r="T260" s="260"/>
      <c r="U260" s="198"/>
      <c r="AD260" s="230"/>
      <c r="AE260" s="199"/>
      <c r="AF260" s="199"/>
    </row>
    <row r="261" spans="1:32" s="229" customFormat="1" ht="33" customHeight="1" x14ac:dyDescent="0.5">
      <c r="A261" s="294"/>
      <c r="B261" s="478"/>
      <c r="C261" s="202"/>
      <c r="D261" s="202"/>
      <c r="E261" s="259"/>
      <c r="F261" s="259"/>
      <c r="G261" s="77"/>
      <c r="H261" s="77"/>
      <c r="I261" s="360"/>
      <c r="J261" s="360"/>
      <c r="K261" s="360"/>
      <c r="L261" s="360"/>
      <c r="M261" s="360"/>
      <c r="N261" s="287"/>
      <c r="O261" s="53"/>
      <c r="P261" s="287"/>
      <c r="Q261" s="53"/>
      <c r="R261" s="287"/>
      <c r="S261" s="9" t="s">
        <v>91</v>
      </c>
      <c r="T261" s="275"/>
      <c r="U261" s="198"/>
      <c r="AD261" s="230"/>
      <c r="AE261" s="199"/>
      <c r="AF261" s="199"/>
    </row>
    <row r="262" spans="1:32" s="229" customFormat="1" ht="33" customHeight="1" x14ac:dyDescent="0.5">
      <c r="A262" s="294"/>
      <c r="B262" s="478"/>
      <c r="C262" s="202"/>
      <c r="D262" s="202"/>
      <c r="E262" s="259"/>
      <c r="F262" s="259"/>
      <c r="G262" s="77"/>
      <c r="H262" s="77"/>
      <c r="I262" s="360"/>
      <c r="J262" s="360"/>
      <c r="K262" s="360"/>
      <c r="L262" s="360"/>
      <c r="M262" s="360"/>
      <c r="N262" s="287"/>
      <c r="O262" s="53"/>
      <c r="P262" s="287"/>
      <c r="Q262" s="53"/>
      <c r="R262" s="287"/>
      <c r="S262" s="9" t="s">
        <v>92</v>
      </c>
      <c r="T262" s="275"/>
      <c r="U262" s="198"/>
      <c r="AD262" s="230"/>
      <c r="AE262" s="199"/>
      <c r="AF262" s="199"/>
    </row>
    <row r="263" spans="1:32" s="229" customFormat="1" ht="33" customHeight="1" x14ac:dyDescent="0.5">
      <c r="A263" s="294"/>
      <c r="B263" s="478"/>
      <c r="C263" s="202"/>
      <c r="D263" s="202"/>
      <c r="E263" s="259"/>
      <c r="F263" s="259"/>
      <c r="G263" s="77"/>
      <c r="H263" s="77"/>
      <c r="I263" s="360"/>
      <c r="J263" s="360"/>
      <c r="K263" s="360"/>
      <c r="L263" s="360"/>
      <c r="M263" s="360"/>
      <c r="N263" s="287"/>
      <c r="O263" s="53"/>
      <c r="P263" s="287"/>
      <c r="Q263" s="53"/>
      <c r="R263" s="287"/>
      <c r="S263" s="9" t="s">
        <v>64</v>
      </c>
      <c r="T263" s="275"/>
      <c r="U263" s="198"/>
      <c r="AD263" s="230"/>
      <c r="AE263" s="199"/>
      <c r="AF263" s="199"/>
    </row>
    <row r="264" spans="1:32" s="229" customFormat="1" ht="33" customHeight="1" x14ac:dyDescent="0.5">
      <c r="A264" s="294"/>
      <c r="B264" s="478"/>
      <c r="C264" s="202"/>
      <c r="D264" s="202"/>
      <c r="E264" s="259"/>
      <c r="F264" s="259"/>
      <c r="G264" s="77"/>
      <c r="H264" s="77"/>
      <c r="I264" s="360"/>
      <c r="J264" s="360"/>
      <c r="K264" s="360"/>
      <c r="L264" s="360"/>
      <c r="M264" s="360"/>
      <c r="N264" s="287"/>
      <c r="O264" s="53"/>
      <c r="P264" s="287"/>
      <c r="Q264" s="53"/>
      <c r="R264" s="287"/>
      <c r="S264" s="9" t="s">
        <v>93</v>
      </c>
      <c r="T264" s="275"/>
      <c r="U264" s="198"/>
      <c r="AD264" s="230"/>
      <c r="AE264" s="199"/>
      <c r="AF264" s="199"/>
    </row>
    <row r="265" spans="1:32" s="229" customFormat="1" ht="33" customHeight="1" x14ac:dyDescent="0.5">
      <c r="A265" s="294"/>
      <c r="B265" s="478"/>
      <c r="C265" s="202"/>
      <c r="D265" s="202"/>
      <c r="E265" s="259"/>
      <c r="F265" s="259"/>
      <c r="G265" s="77"/>
      <c r="H265" s="77"/>
      <c r="I265" s="360"/>
      <c r="J265" s="360"/>
      <c r="K265" s="360"/>
      <c r="L265" s="360"/>
      <c r="M265" s="360"/>
      <c r="N265" s="287"/>
      <c r="O265" s="53"/>
      <c r="P265" s="287"/>
      <c r="Q265" s="53"/>
      <c r="R265" s="287"/>
      <c r="S265" s="9" t="s">
        <v>94</v>
      </c>
      <c r="T265" s="275"/>
      <c r="U265" s="198"/>
      <c r="AD265" s="230"/>
      <c r="AE265" s="199"/>
      <c r="AF265" s="199"/>
    </row>
    <row r="266" spans="1:32" s="229" customFormat="1" ht="33" customHeight="1" x14ac:dyDescent="0.5">
      <c r="A266" s="294"/>
      <c r="B266" s="478"/>
      <c r="C266" s="202"/>
      <c r="D266" s="202"/>
      <c r="E266" s="259"/>
      <c r="F266" s="259"/>
      <c r="G266" s="77"/>
      <c r="H266" s="77"/>
      <c r="I266" s="360"/>
      <c r="J266" s="360"/>
      <c r="K266" s="360"/>
      <c r="L266" s="360"/>
      <c r="M266" s="360"/>
      <c r="N266" s="287"/>
      <c r="O266" s="53"/>
      <c r="P266" s="287"/>
      <c r="Q266" s="53"/>
      <c r="R266" s="287"/>
      <c r="S266" s="9" t="s">
        <v>95</v>
      </c>
      <c r="T266" s="275"/>
      <c r="U266" s="198"/>
      <c r="AD266" s="230"/>
      <c r="AE266" s="199"/>
      <c r="AF266" s="199"/>
    </row>
    <row r="267" spans="1:32" s="229" customFormat="1" ht="33" customHeight="1" x14ac:dyDescent="0.5">
      <c r="A267" s="294"/>
      <c r="B267" s="478"/>
      <c r="C267" s="304"/>
      <c r="D267" s="304"/>
      <c r="E267" s="259"/>
      <c r="F267" s="259"/>
      <c r="G267" s="77"/>
      <c r="H267" s="77"/>
      <c r="I267" s="360"/>
      <c r="J267" s="360"/>
      <c r="K267" s="360"/>
      <c r="L267" s="360"/>
      <c r="M267" s="360"/>
      <c r="N267" s="287"/>
      <c r="O267" s="53"/>
      <c r="P267" s="287"/>
      <c r="Q267" s="53"/>
      <c r="R267" s="287"/>
      <c r="S267" s="242"/>
      <c r="T267" s="260"/>
      <c r="U267" s="198"/>
      <c r="AD267" s="230"/>
      <c r="AE267" s="199"/>
      <c r="AF267" s="199"/>
    </row>
    <row r="268" spans="1:32" s="229" customFormat="1" ht="33" customHeight="1" x14ac:dyDescent="0.5">
      <c r="A268" s="294"/>
      <c r="B268" s="478"/>
      <c r="C268" s="304"/>
      <c r="D268" s="304"/>
      <c r="E268" s="259"/>
      <c r="F268" s="259"/>
      <c r="G268" s="77"/>
      <c r="H268" s="77"/>
      <c r="I268" s="360"/>
      <c r="J268" s="360"/>
      <c r="K268" s="360"/>
      <c r="L268" s="360"/>
      <c r="M268" s="360"/>
      <c r="N268" s="287"/>
      <c r="O268" s="53"/>
      <c r="P268" s="287"/>
      <c r="Q268" s="53"/>
      <c r="R268" s="287"/>
      <c r="S268" s="146" t="s">
        <v>73</v>
      </c>
      <c r="T268" s="237"/>
      <c r="U268" s="198"/>
      <c r="AD268" s="230"/>
      <c r="AE268" s="199"/>
      <c r="AF268" s="199"/>
    </row>
    <row r="269" spans="1:32" s="229" customFormat="1" ht="33" customHeight="1" x14ac:dyDescent="0.5">
      <c r="A269" s="294"/>
      <c r="B269" s="478"/>
      <c r="C269" s="304"/>
      <c r="D269" s="304"/>
      <c r="E269" s="259"/>
      <c r="F269" s="259"/>
      <c r="G269" s="77"/>
      <c r="H269" s="77"/>
      <c r="I269" s="360"/>
      <c r="J269" s="360"/>
      <c r="K269" s="360"/>
      <c r="L269" s="360"/>
      <c r="M269" s="360"/>
      <c r="N269" s="287"/>
      <c r="O269" s="53"/>
      <c r="P269" s="287"/>
      <c r="Q269" s="53"/>
      <c r="R269" s="287"/>
      <c r="S269" s="207" t="s">
        <v>74</v>
      </c>
      <c r="T269" s="238"/>
      <c r="U269" s="198"/>
      <c r="AD269" s="230"/>
      <c r="AE269" s="199"/>
      <c r="AF269" s="199"/>
    </row>
    <row r="270" spans="1:32" s="229" customFormat="1" ht="33" customHeight="1" x14ac:dyDescent="0.5">
      <c r="A270" s="294"/>
      <c r="B270" s="478"/>
      <c r="C270" s="304"/>
      <c r="D270" s="304"/>
      <c r="E270" s="259"/>
      <c r="F270" s="259"/>
      <c r="G270" s="77"/>
      <c r="H270" s="77"/>
      <c r="I270" s="360"/>
      <c r="J270" s="360"/>
      <c r="K270" s="360"/>
      <c r="L270" s="360"/>
      <c r="M270" s="360"/>
      <c r="N270" s="287"/>
      <c r="O270" s="53"/>
      <c r="P270" s="287"/>
      <c r="Q270" s="53"/>
      <c r="R270" s="287"/>
      <c r="S270" s="207" t="s">
        <v>75</v>
      </c>
      <c r="T270" s="238"/>
      <c r="U270" s="198"/>
      <c r="AD270" s="230"/>
      <c r="AE270" s="199"/>
      <c r="AF270" s="199"/>
    </row>
    <row r="271" spans="1:32" s="229" customFormat="1" ht="33" customHeight="1" x14ac:dyDescent="0.5">
      <c r="A271" s="294"/>
      <c r="B271" s="478"/>
      <c r="C271" s="304"/>
      <c r="D271" s="304"/>
      <c r="E271" s="259"/>
      <c r="F271" s="259"/>
      <c r="G271" s="77"/>
      <c r="H271" s="77"/>
      <c r="I271" s="360"/>
      <c r="J271" s="360"/>
      <c r="K271" s="360"/>
      <c r="L271" s="360"/>
      <c r="M271" s="360"/>
      <c r="N271" s="287"/>
      <c r="O271" s="53"/>
      <c r="P271" s="287"/>
      <c r="Q271" s="53"/>
      <c r="R271" s="287"/>
      <c r="S271" s="208" t="s">
        <v>76</v>
      </c>
      <c r="T271" s="238"/>
      <c r="U271" s="198"/>
      <c r="AD271" s="230"/>
      <c r="AE271" s="199"/>
      <c r="AF271" s="199"/>
    </row>
    <row r="272" spans="1:32" s="229" customFormat="1" ht="33" customHeight="1" x14ac:dyDescent="0.5">
      <c r="A272" s="294"/>
      <c r="B272" s="478"/>
      <c r="C272" s="304"/>
      <c r="D272" s="304"/>
      <c r="E272" s="259"/>
      <c r="F272" s="259"/>
      <c r="G272" s="77"/>
      <c r="H272" s="77"/>
      <c r="I272" s="360"/>
      <c r="J272" s="360"/>
      <c r="K272" s="360"/>
      <c r="L272" s="360"/>
      <c r="M272" s="360"/>
      <c r="N272" s="287"/>
      <c r="O272" s="53"/>
      <c r="P272" s="287"/>
      <c r="Q272" s="53"/>
      <c r="R272" s="287"/>
      <c r="S272" s="209" t="s">
        <v>77</v>
      </c>
      <c r="T272" s="238"/>
      <c r="U272" s="198"/>
      <c r="AD272" s="230"/>
      <c r="AE272" s="199"/>
      <c r="AF272" s="199"/>
    </row>
    <row r="273" spans="1:32" s="229" customFormat="1" ht="33" customHeight="1" x14ac:dyDescent="0.5">
      <c r="A273" s="294"/>
      <c r="B273" s="478"/>
      <c r="C273" s="304"/>
      <c r="D273" s="304"/>
      <c r="E273" s="259"/>
      <c r="F273" s="259"/>
      <c r="G273" s="77"/>
      <c r="H273" s="77"/>
      <c r="I273" s="360"/>
      <c r="J273" s="360"/>
      <c r="K273" s="360"/>
      <c r="L273" s="360"/>
      <c r="M273" s="360"/>
      <c r="N273" s="287"/>
      <c r="O273" s="53"/>
      <c r="P273" s="287"/>
      <c r="Q273" s="53"/>
      <c r="R273" s="287"/>
      <c r="S273" s="209" t="s">
        <v>78</v>
      </c>
      <c r="T273" s="238"/>
      <c r="U273" s="198"/>
      <c r="AD273" s="230"/>
      <c r="AE273" s="199"/>
      <c r="AF273" s="199"/>
    </row>
    <row r="274" spans="1:32" s="229" customFormat="1" ht="33" customHeight="1" x14ac:dyDescent="0.5">
      <c r="A274" s="294"/>
      <c r="B274" s="478"/>
      <c r="C274" s="304"/>
      <c r="D274" s="304"/>
      <c r="E274" s="259"/>
      <c r="F274" s="259"/>
      <c r="G274" s="77"/>
      <c r="H274" s="77"/>
      <c r="I274" s="360"/>
      <c r="J274" s="360"/>
      <c r="K274" s="360"/>
      <c r="L274" s="360"/>
      <c r="M274" s="360"/>
      <c r="N274" s="287"/>
      <c r="O274" s="53"/>
      <c r="P274" s="287"/>
      <c r="Q274" s="53"/>
      <c r="R274" s="287"/>
      <c r="S274" s="208" t="s">
        <v>168</v>
      </c>
      <c r="T274" s="239"/>
      <c r="U274" s="198"/>
      <c r="AD274" s="230"/>
      <c r="AE274" s="199"/>
      <c r="AF274" s="199"/>
    </row>
    <row r="275" spans="1:32" s="229" customFormat="1" ht="33" customHeight="1" x14ac:dyDescent="0.5">
      <c r="A275" s="294"/>
      <c r="B275" s="478"/>
      <c r="C275" s="304"/>
      <c r="D275" s="304"/>
      <c r="E275" s="259"/>
      <c r="F275" s="259"/>
      <c r="G275" s="77"/>
      <c r="H275" s="77"/>
      <c r="I275" s="360"/>
      <c r="J275" s="360"/>
      <c r="K275" s="360"/>
      <c r="L275" s="360"/>
      <c r="M275" s="360"/>
      <c r="N275" s="287"/>
      <c r="O275" s="53"/>
      <c r="P275" s="287"/>
      <c r="Q275" s="53"/>
      <c r="R275" s="287"/>
      <c r="S275" s="210" t="s">
        <v>169</v>
      </c>
      <c r="T275" s="239"/>
      <c r="U275" s="198"/>
      <c r="AD275" s="230"/>
      <c r="AE275" s="199"/>
      <c r="AF275" s="199"/>
    </row>
    <row r="276" spans="1:32" s="229" customFormat="1" ht="33" customHeight="1" x14ac:dyDescent="0.5">
      <c r="A276" s="294"/>
      <c r="B276" s="478"/>
      <c r="C276" s="304"/>
      <c r="D276" s="304"/>
      <c r="E276" s="259"/>
      <c r="F276" s="259"/>
      <c r="G276" s="77"/>
      <c r="H276" s="77"/>
      <c r="I276" s="360"/>
      <c r="J276" s="360"/>
      <c r="K276" s="360"/>
      <c r="L276" s="360"/>
      <c r="M276" s="360"/>
      <c r="N276" s="287"/>
      <c r="O276" s="53"/>
      <c r="P276" s="287"/>
      <c r="Q276" s="53"/>
      <c r="R276" s="287"/>
      <c r="S276" s="210" t="s">
        <v>170</v>
      </c>
      <c r="T276" s="239"/>
      <c r="U276" s="198"/>
      <c r="AD276" s="230"/>
      <c r="AE276" s="199"/>
      <c r="AF276" s="199"/>
    </row>
    <row r="277" spans="1:32" s="229" customFormat="1" ht="33" customHeight="1" x14ac:dyDescent="0.5">
      <c r="A277" s="294"/>
      <c r="B277" s="478"/>
      <c r="C277" s="304"/>
      <c r="D277" s="304"/>
      <c r="E277" s="259"/>
      <c r="F277" s="259"/>
      <c r="G277" s="77"/>
      <c r="H277" s="77"/>
      <c r="I277" s="360"/>
      <c r="J277" s="360"/>
      <c r="K277" s="360"/>
      <c r="L277" s="360"/>
      <c r="M277" s="360"/>
      <c r="N277" s="287"/>
      <c r="O277" s="53"/>
      <c r="P277" s="287"/>
      <c r="Q277" s="53"/>
      <c r="R277" s="287"/>
      <c r="S277" s="210" t="s">
        <v>171</v>
      </c>
      <c r="T277" s="239"/>
      <c r="U277" s="198"/>
      <c r="AD277" s="230"/>
      <c r="AE277" s="199"/>
      <c r="AF277" s="199"/>
    </row>
    <row r="278" spans="1:32" s="229" customFormat="1" ht="33" customHeight="1" x14ac:dyDescent="0.5">
      <c r="A278" s="294"/>
      <c r="B278" s="478"/>
      <c r="C278" s="304"/>
      <c r="D278" s="304"/>
      <c r="E278" s="259"/>
      <c r="F278" s="259"/>
      <c r="G278" s="77"/>
      <c r="H278" s="77"/>
      <c r="I278" s="360"/>
      <c r="J278" s="360"/>
      <c r="K278" s="360"/>
      <c r="L278" s="360"/>
      <c r="M278" s="360"/>
      <c r="N278" s="287"/>
      <c r="O278" s="53"/>
      <c r="P278" s="287"/>
      <c r="Q278" s="53"/>
      <c r="R278" s="287"/>
      <c r="S278" s="211" t="s">
        <v>175</v>
      </c>
      <c r="T278" s="240"/>
      <c r="U278" s="198"/>
      <c r="AD278" s="230"/>
      <c r="AE278" s="199"/>
      <c r="AF278" s="199"/>
    </row>
    <row r="279" spans="1:32" s="229" customFormat="1" ht="33" customHeight="1" x14ac:dyDescent="0.5">
      <c r="A279" s="294"/>
      <c r="B279" s="478"/>
      <c r="C279" s="304"/>
      <c r="D279" s="304"/>
      <c r="E279" s="259"/>
      <c r="F279" s="259"/>
      <c r="G279" s="77"/>
      <c r="H279" s="77"/>
      <c r="I279" s="360"/>
      <c r="J279" s="360"/>
      <c r="K279" s="360"/>
      <c r="L279" s="360"/>
      <c r="M279" s="360"/>
      <c r="N279" s="287"/>
      <c r="O279" s="53"/>
      <c r="P279" s="287"/>
      <c r="Q279" s="53"/>
      <c r="R279" s="287"/>
      <c r="S279" s="208" t="s">
        <v>176</v>
      </c>
      <c r="T279" s="240"/>
      <c r="U279" s="198"/>
      <c r="AD279" s="230"/>
      <c r="AE279" s="199"/>
      <c r="AF279" s="199"/>
    </row>
    <row r="280" spans="1:32" s="229" customFormat="1" ht="33" customHeight="1" x14ac:dyDescent="0.5">
      <c r="A280" s="294"/>
      <c r="B280" s="478"/>
      <c r="C280" s="304"/>
      <c r="D280" s="304"/>
      <c r="E280" s="259"/>
      <c r="F280" s="259"/>
      <c r="G280" s="77"/>
      <c r="H280" s="77"/>
      <c r="I280" s="360"/>
      <c r="J280" s="360"/>
      <c r="K280" s="360"/>
      <c r="L280" s="360"/>
      <c r="M280" s="360"/>
      <c r="N280" s="287"/>
      <c r="O280" s="53"/>
      <c r="P280" s="287"/>
      <c r="Q280" s="53"/>
      <c r="R280" s="287"/>
      <c r="S280" s="242"/>
      <c r="T280" s="260"/>
      <c r="U280" s="198"/>
      <c r="AD280" s="230"/>
      <c r="AE280" s="199"/>
      <c r="AF280" s="199"/>
    </row>
    <row r="281" spans="1:32" s="229" customFormat="1" ht="33" customHeight="1" x14ac:dyDescent="0.5">
      <c r="A281" s="294"/>
      <c r="B281" s="478"/>
      <c r="C281" s="304"/>
      <c r="D281" s="304"/>
      <c r="E281" s="259"/>
      <c r="F281" s="259"/>
      <c r="G281" s="77"/>
      <c r="H281" s="77"/>
      <c r="I281" s="360"/>
      <c r="J281" s="360"/>
      <c r="K281" s="360"/>
      <c r="L281" s="360"/>
      <c r="M281" s="360"/>
      <c r="N281" s="287"/>
      <c r="O281" s="53"/>
      <c r="P281" s="287"/>
      <c r="Q281" s="53"/>
      <c r="R281" s="287"/>
      <c r="S281" s="282" t="s">
        <v>79</v>
      </c>
      <c r="T281" s="283"/>
      <c r="U281" s="198"/>
      <c r="AD281" s="230"/>
      <c r="AE281" s="199"/>
      <c r="AF281" s="199"/>
    </row>
    <row r="282" spans="1:32" s="229" customFormat="1" ht="33" customHeight="1" x14ac:dyDescent="0.5">
      <c r="A282" s="294"/>
      <c r="B282" s="478"/>
      <c r="C282" s="304"/>
      <c r="D282" s="304"/>
      <c r="E282" s="259"/>
      <c r="F282" s="259"/>
      <c r="G282" s="77"/>
      <c r="H282" s="77"/>
      <c r="I282" s="360"/>
      <c r="J282" s="360"/>
      <c r="K282" s="360"/>
      <c r="L282" s="360"/>
      <c r="M282" s="360"/>
      <c r="N282" s="287"/>
      <c r="O282" s="53"/>
      <c r="P282" s="287"/>
      <c r="Q282" s="53"/>
      <c r="R282" s="287"/>
      <c r="S282" s="282" t="s">
        <v>53</v>
      </c>
      <c r="T282" s="283"/>
      <c r="U282" s="198"/>
      <c r="AD282" s="230"/>
      <c r="AE282" s="199"/>
      <c r="AF282" s="199"/>
    </row>
    <row r="283" spans="1:32" s="229" customFormat="1" ht="33" customHeight="1" x14ac:dyDescent="0.5">
      <c r="A283" s="294"/>
      <c r="B283" s="478"/>
      <c r="C283" s="304"/>
      <c r="D283" s="304"/>
      <c r="E283" s="259"/>
      <c r="F283" s="259"/>
      <c r="G283" s="77"/>
      <c r="H283" s="77"/>
      <c r="I283" s="360"/>
      <c r="J283" s="360"/>
      <c r="K283" s="360"/>
      <c r="L283" s="360"/>
      <c r="M283" s="360"/>
      <c r="N283" s="287"/>
      <c r="O283" s="53"/>
      <c r="P283" s="287"/>
      <c r="Q283" s="53"/>
      <c r="R283" s="287"/>
      <c r="S283" s="282" t="s">
        <v>80</v>
      </c>
      <c r="T283" s="283"/>
      <c r="U283" s="198"/>
      <c r="AD283" s="230"/>
      <c r="AE283" s="199"/>
      <c r="AF283" s="199"/>
    </row>
    <row r="284" spans="1:32" s="229" customFormat="1" ht="33" customHeight="1" x14ac:dyDescent="0.5">
      <c r="A284" s="294"/>
      <c r="B284" s="478"/>
      <c r="C284" s="304"/>
      <c r="D284" s="304"/>
      <c r="E284" s="259"/>
      <c r="F284" s="259"/>
      <c r="G284" s="77"/>
      <c r="H284" s="77"/>
      <c r="I284" s="360"/>
      <c r="J284" s="360"/>
      <c r="K284" s="360"/>
      <c r="L284" s="360"/>
      <c r="M284" s="360"/>
      <c r="N284" s="287"/>
      <c r="O284" s="53"/>
      <c r="P284" s="287"/>
      <c r="Q284" s="53"/>
      <c r="R284" s="287"/>
      <c r="S284" s="208" t="s">
        <v>81</v>
      </c>
      <c r="T284" s="283"/>
      <c r="U284" s="198"/>
      <c r="AD284" s="230"/>
      <c r="AE284" s="199"/>
      <c r="AF284" s="199"/>
    </row>
    <row r="285" spans="1:32" s="229" customFormat="1" ht="33" customHeight="1" x14ac:dyDescent="0.5">
      <c r="A285" s="294"/>
      <c r="B285" s="478"/>
      <c r="C285" s="304"/>
      <c r="D285" s="304"/>
      <c r="E285" s="259"/>
      <c r="F285" s="259"/>
      <c r="G285" s="77"/>
      <c r="H285" s="77"/>
      <c r="I285" s="360"/>
      <c r="J285" s="360"/>
      <c r="K285" s="360"/>
      <c r="L285" s="360"/>
      <c r="M285" s="360"/>
      <c r="N285" s="287"/>
      <c r="O285" s="53"/>
      <c r="P285" s="287"/>
      <c r="Q285" s="53"/>
      <c r="R285" s="287"/>
      <c r="S285" s="208" t="s">
        <v>82</v>
      </c>
      <c r="T285" s="283"/>
      <c r="U285" s="198"/>
      <c r="AD285" s="230"/>
      <c r="AE285" s="199"/>
      <c r="AF285" s="199"/>
    </row>
    <row r="286" spans="1:32" s="229" customFormat="1" ht="33" customHeight="1" x14ac:dyDescent="0.5">
      <c r="A286" s="294"/>
      <c r="B286" s="478"/>
      <c r="C286" s="304"/>
      <c r="D286" s="304"/>
      <c r="E286" s="259"/>
      <c r="F286" s="259"/>
      <c r="G286" s="77"/>
      <c r="H286" s="77"/>
      <c r="I286" s="360"/>
      <c r="J286" s="360"/>
      <c r="K286" s="360"/>
      <c r="L286" s="360"/>
      <c r="M286" s="360"/>
      <c r="N286" s="287"/>
      <c r="O286" s="53"/>
      <c r="P286" s="287"/>
      <c r="Q286" s="53"/>
      <c r="R286" s="287"/>
      <c r="S286" s="208" t="s">
        <v>187</v>
      </c>
      <c r="T286" s="283"/>
      <c r="U286" s="198"/>
      <c r="AD286" s="230"/>
      <c r="AE286" s="199"/>
      <c r="AF286" s="199"/>
    </row>
    <row r="287" spans="1:32" s="229" customFormat="1" ht="33" customHeight="1" x14ac:dyDescent="0.5">
      <c r="A287" s="294"/>
      <c r="B287" s="478"/>
      <c r="C287" s="304"/>
      <c r="D287" s="304"/>
      <c r="E287" s="259"/>
      <c r="F287" s="259"/>
      <c r="G287" s="77"/>
      <c r="H287" s="77"/>
      <c r="I287" s="360"/>
      <c r="J287" s="360"/>
      <c r="K287" s="360"/>
      <c r="L287" s="360"/>
      <c r="M287" s="360"/>
      <c r="N287" s="287"/>
      <c r="O287" s="53"/>
      <c r="P287" s="287"/>
      <c r="Q287" s="53"/>
      <c r="R287" s="287"/>
      <c r="S287" s="242"/>
      <c r="T287" s="260"/>
      <c r="U287" s="198"/>
      <c r="AD287" s="230"/>
      <c r="AE287" s="199"/>
      <c r="AF287" s="199"/>
    </row>
    <row r="288" spans="1:32" s="229" customFormat="1" ht="33" customHeight="1" x14ac:dyDescent="0.5">
      <c r="A288" s="294"/>
      <c r="B288" s="478"/>
      <c r="C288" s="304"/>
      <c r="D288" s="304"/>
      <c r="E288" s="259"/>
      <c r="F288" s="259"/>
      <c r="G288" s="77"/>
      <c r="H288" s="77"/>
      <c r="I288" s="360"/>
      <c r="J288" s="360"/>
      <c r="K288" s="360"/>
      <c r="L288" s="360"/>
      <c r="M288" s="360"/>
      <c r="N288" s="287"/>
      <c r="O288" s="53"/>
      <c r="P288" s="287"/>
      <c r="Q288" s="53"/>
      <c r="R288" s="287"/>
      <c r="S288" s="212" t="s">
        <v>198</v>
      </c>
      <c r="T288" s="213" t="s">
        <v>190</v>
      </c>
      <c r="U288" s="198"/>
      <c r="AD288" s="230"/>
      <c r="AE288" s="199"/>
      <c r="AF288" s="199"/>
    </row>
    <row r="289" spans="1:32" s="229" customFormat="1" ht="33" customHeight="1" x14ac:dyDescent="0.5">
      <c r="A289" s="294"/>
      <c r="B289" s="478"/>
      <c r="C289" s="304"/>
      <c r="D289" s="304"/>
      <c r="E289" s="259"/>
      <c r="F289" s="259"/>
      <c r="G289" s="77"/>
      <c r="H289" s="77"/>
      <c r="I289" s="360"/>
      <c r="J289" s="360"/>
      <c r="K289" s="360"/>
      <c r="L289" s="360"/>
      <c r="M289" s="360"/>
      <c r="N289" s="287"/>
      <c r="O289" s="53"/>
      <c r="P289" s="287"/>
      <c r="Q289" s="53"/>
      <c r="R289" s="287"/>
      <c r="S289" s="212" t="s">
        <v>191</v>
      </c>
      <c r="T289" s="213" t="s">
        <v>190</v>
      </c>
      <c r="U289" s="198"/>
      <c r="AD289" s="230"/>
      <c r="AE289" s="199"/>
      <c r="AF289" s="199"/>
    </row>
    <row r="290" spans="1:32" s="229" customFormat="1" ht="33" customHeight="1" x14ac:dyDescent="0.5">
      <c r="A290" s="294"/>
      <c r="B290" s="478"/>
      <c r="C290" s="304"/>
      <c r="D290" s="304"/>
      <c r="E290" s="259"/>
      <c r="F290" s="259"/>
      <c r="G290" s="77"/>
      <c r="H290" s="77"/>
      <c r="I290" s="360"/>
      <c r="J290" s="360"/>
      <c r="K290" s="360"/>
      <c r="L290" s="360"/>
      <c r="M290" s="360"/>
      <c r="N290" s="287"/>
      <c r="O290" s="53"/>
      <c r="P290" s="287"/>
      <c r="Q290" s="53"/>
      <c r="R290" s="287"/>
      <c r="S290" s="212" t="s">
        <v>194</v>
      </c>
      <c r="T290" s="213" t="s">
        <v>190</v>
      </c>
      <c r="U290" s="198"/>
      <c r="AD290" s="230"/>
      <c r="AE290" s="199"/>
      <c r="AF290" s="199"/>
    </row>
    <row r="291" spans="1:32" s="229" customFormat="1" ht="33" customHeight="1" x14ac:dyDescent="0.5">
      <c r="A291" s="294"/>
      <c r="B291" s="478"/>
      <c r="C291" s="304"/>
      <c r="D291" s="304"/>
      <c r="E291" s="259"/>
      <c r="F291" s="259"/>
      <c r="G291" s="77"/>
      <c r="H291" s="77"/>
      <c r="I291" s="360"/>
      <c r="J291" s="360"/>
      <c r="K291" s="360"/>
      <c r="L291" s="360"/>
      <c r="M291" s="360"/>
      <c r="N291" s="287"/>
      <c r="O291" s="53"/>
      <c r="P291" s="287"/>
      <c r="Q291" s="53"/>
      <c r="R291" s="287"/>
      <c r="S291" s="242"/>
      <c r="T291" s="260"/>
      <c r="U291" s="198"/>
      <c r="AD291" s="230"/>
      <c r="AE291" s="199"/>
      <c r="AF291" s="199"/>
    </row>
    <row r="292" spans="1:32" s="229" customFormat="1" ht="33" customHeight="1" x14ac:dyDescent="0.5">
      <c r="A292" s="294"/>
      <c r="B292" s="478"/>
      <c r="C292" s="304"/>
      <c r="D292" s="304"/>
      <c r="E292" s="259"/>
      <c r="F292" s="259"/>
      <c r="G292" s="77"/>
      <c r="H292" s="77"/>
      <c r="I292" s="360"/>
      <c r="J292" s="360"/>
      <c r="K292" s="360"/>
      <c r="L292" s="360"/>
      <c r="M292" s="360"/>
      <c r="N292" s="287"/>
      <c r="O292" s="53"/>
      <c r="P292" s="287"/>
      <c r="Q292" s="53"/>
      <c r="R292" s="287"/>
      <c r="S292" s="184" t="s">
        <v>323</v>
      </c>
      <c r="T292" s="134"/>
      <c r="U292" s="198"/>
      <c r="AD292" s="230"/>
      <c r="AE292" s="199"/>
      <c r="AF292" s="199"/>
    </row>
    <row r="293" spans="1:32" s="229" customFormat="1" ht="33" customHeight="1" x14ac:dyDescent="0.5">
      <c r="A293" s="294"/>
      <c r="B293" s="478"/>
      <c r="C293" s="304"/>
      <c r="D293" s="304"/>
      <c r="E293" s="259"/>
      <c r="F293" s="259"/>
      <c r="G293" s="77"/>
      <c r="H293" s="77"/>
      <c r="I293" s="360"/>
      <c r="J293" s="360"/>
      <c r="K293" s="360"/>
      <c r="L293" s="360"/>
      <c r="M293" s="360"/>
      <c r="N293" s="287"/>
      <c r="O293" s="53"/>
      <c r="P293" s="287"/>
      <c r="Q293" s="53"/>
      <c r="R293" s="287"/>
      <c r="S293" s="242"/>
      <c r="T293" s="260"/>
      <c r="U293" s="198"/>
      <c r="AD293" s="230"/>
      <c r="AE293" s="199"/>
      <c r="AF293" s="199"/>
    </row>
    <row r="294" spans="1:32" s="229" customFormat="1" ht="33" customHeight="1" x14ac:dyDescent="0.5">
      <c r="A294" s="294"/>
      <c r="B294" s="478"/>
      <c r="C294" s="304"/>
      <c r="D294" s="304"/>
      <c r="E294" s="259"/>
      <c r="F294" s="259"/>
      <c r="G294" s="77"/>
      <c r="H294" s="77"/>
      <c r="I294" s="360"/>
      <c r="J294" s="360"/>
      <c r="K294" s="360"/>
      <c r="L294" s="360"/>
      <c r="M294" s="360"/>
      <c r="N294" s="287"/>
      <c r="O294" s="53"/>
      <c r="P294" s="287"/>
      <c r="Q294" s="53"/>
      <c r="R294" s="287"/>
      <c r="S294" s="244" t="s">
        <v>126</v>
      </c>
      <c r="T294" s="205"/>
      <c r="U294" s="198"/>
      <c r="AD294" s="230"/>
      <c r="AE294" s="199"/>
      <c r="AF294" s="199"/>
    </row>
    <row r="295" spans="1:32" s="229" customFormat="1" ht="33" customHeight="1" x14ac:dyDescent="0.5">
      <c r="A295" s="294"/>
      <c r="B295" s="478"/>
      <c r="C295" s="304"/>
      <c r="D295" s="304"/>
      <c r="E295" s="259"/>
      <c r="F295" s="259"/>
      <c r="G295" s="77"/>
      <c r="H295" s="77"/>
      <c r="I295" s="360"/>
      <c r="J295" s="360"/>
      <c r="K295" s="360"/>
      <c r="L295" s="360"/>
      <c r="M295" s="360"/>
      <c r="N295" s="287"/>
      <c r="O295" s="53"/>
      <c r="P295" s="287"/>
      <c r="Q295" s="53"/>
      <c r="R295" s="287"/>
      <c r="S295" s="146" t="s">
        <v>239</v>
      </c>
      <c r="T295" s="532" t="s">
        <v>317</v>
      </c>
      <c r="U295" s="198"/>
      <c r="AD295" s="230"/>
      <c r="AE295" s="199"/>
      <c r="AF295" s="199"/>
    </row>
    <row r="296" spans="1:32" s="229" customFormat="1" ht="33" customHeight="1" x14ac:dyDescent="0.5">
      <c r="A296" s="294"/>
      <c r="B296" s="478"/>
      <c r="C296" s="304"/>
      <c r="D296" s="304"/>
      <c r="E296" s="259"/>
      <c r="F296" s="259"/>
      <c r="G296" s="77"/>
      <c r="H296" s="77"/>
      <c r="I296" s="360"/>
      <c r="J296" s="360"/>
      <c r="K296" s="360"/>
      <c r="L296" s="360"/>
      <c r="M296" s="360"/>
      <c r="N296" s="287"/>
      <c r="O296" s="53"/>
      <c r="P296" s="287"/>
      <c r="Q296" s="53"/>
      <c r="R296" s="287"/>
      <c r="S296" s="242"/>
      <c r="T296" s="260"/>
      <c r="U296" s="198"/>
      <c r="AD296" s="230"/>
      <c r="AE296" s="199"/>
      <c r="AF296" s="199"/>
    </row>
    <row r="297" spans="1:32" s="229" customFormat="1" ht="33" customHeight="1" x14ac:dyDescent="0.5">
      <c r="A297" s="294"/>
      <c r="B297" s="478"/>
      <c r="C297" s="279"/>
      <c r="D297" s="279"/>
      <c r="E297" s="299"/>
      <c r="F297" s="299"/>
      <c r="G297" s="77"/>
      <c r="H297" s="77"/>
      <c r="I297" s="360"/>
      <c r="J297" s="360"/>
      <c r="K297" s="360"/>
      <c r="L297" s="360"/>
      <c r="M297" s="360"/>
      <c r="N297" s="360"/>
      <c r="O297" s="14"/>
      <c r="P297" s="287"/>
      <c r="Q297" s="53"/>
      <c r="R297" s="287"/>
      <c r="S297" s="207" t="s">
        <v>0</v>
      </c>
      <c r="T297" s="217">
        <f xml:space="preserve"> SUM(H256:H298)-SUM($G256:$G298)</f>
        <v>0.13541666666666674</v>
      </c>
      <c r="U297" s="291"/>
      <c r="AD297" s="230"/>
      <c r="AE297" s="199"/>
      <c r="AF297" s="199"/>
    </row>
    <row r="298" spans="1:32" s="229" customFormat="1" ht="33" customHeight="1" thickBot="1" x14ac:dyDescent="0.55000000000000004">
      <c r="A298" s="300"/>
      <c r="B298" s="479"/>
      <c r="C298" s="301"/>
      <c r="D298" s="301"/>
      <c r="E298" s="302"/>
      <c r="F298" s="302"/>
      <c r="G298" s="79"/>
      <c r="H298" s="79"/>
      <c r="I298" s="363"/>
      <c r="J298" s="363"/>
      <c r="K298" s="363"/>
      <c r="L298" s="363"/>
      <c r="M298" s="363"/>
      <c r="N298" s="363"/>
      <c r="O298" s="64"/>
      <c r="P298" s="305"/>
      <c r="Q298" s="80"/>
      <c r="R298" s="305"/>
      <c r="S298" s="207" t="s">
        <v>4</v>
      </c>
      <c r="T298" s="217">
        <f xml:space="preserve"> SUM(M256:M298)-SUM($J256:$J298)</f>
        <v>0.14166666666666683</v>
      </c>
      <c r="U298" s="291"/>
      <c r="AD298" s="230"/>
      <c r="AE298" s="199"/>
      <c r="AF298" s="199"/>
    </row>
    <row r="299" spans="1:32" s="28" customFormat="1" ht="33" customHeight="1" x14ac:dyDescent="0.5">
      <c r="A299" s="120" t="s">
        <v>143</v>
      </c>
      <c r="B299" s="501" t="s">
        <v>2</v>
      </c>
      <c r="C299" s="105"/>
      <c r="D299" s="105"/>
      <c r="E299" s="89"/>
      <c r="F299" s="89"/>
      <c r="G299" s="90"/>
      <c r="H299" s="90"/>
      <c r="I299" s="364"/>
      <c r="J299" s="364"/>
      <c r="K299" s="364"/>
      <c r="L299" s="364"/>
      <c r="M299" s="364"/>
      <c r="N299" s="186"/>
      <c r="O299" s="86"/>
      <c r="P299" s="186"/>
      <c r="Q299" s="86"/>
      <c r="R299" s="186"/>
      <c r="S299" s="54"/>
      <c r="T299" s="121"/>
      <c r="U299" s="43"/>
      <c r="AD299" s="44"/>
      <c r="AE299" s="35"/>
      <c r="AF299" s="35"/>
    </row>
    <row r="300" spans="1:32" s="28" customFormat="1" ht="33" customHeight="1" x14ac:dyDescent="0.5">
      <c r="A300" s="70" t="s">
        <v>11</v>
      </c>
      <c r="B300" s="502"/>
      <c r="C300" s="115"/>
      <c r="D300" s="115"/>
      <c r="E300" s="92"/>
      <c r="F300" s="92"/>
      <c r="G300" s="93"/>
      <c r="H300" s="93"/>
      <c r="I300" s="365"/>
      <c r="J300" s="365"/>
      <c r="K300" s="365"/>
      <c r="L300" s="365"/>
      <c r="M300" s="365"/>
      <c r="N300" s="104"/>
      <c r="O300" s="85"/>
      <c r="P300" s="104"/>
      <c r="Q300" s="85"/>
      <c r="R300" s="104"/>
      <c r="S300" s="12" t="s">
        <v>214</v>
      </c>
      <c r="T300" s="122"/>
      <c r="U300" s="43"/>
      <c r="AD300" s="44"/>
      <c r="AE300" s="35"/>
      <c r="AF300" s="35"/>
    </row>
    <row r="301" spans="1:32" s="28" customFormat="1" ht="33" customHeight="1" x14ac:dyDescent="0.5">
      <c r="A301" s="70" t="s">
        <v>144</v>
      </c>
      <c r="B301" s="502"/>
      <c r="C301" s="115"/>
      <c r="D301" s="115"/>
      <c r="E301" s="92"/>
      <c r="F301" s="92"/>
      <c r="G301" s="93"/>
      <c r="H301" s="93"/>
      <c r="I301" s="365"/>
      <c r="J301" s="365"/>
      <c r="K301" s="365"/>
      <c r="L301" s="365"/>
      <c r="M301" s="365"/>
      <c r="N301" s="104"/>
      <c r="O301" s="85"/>
      <c r="P301" s="104"/>
      <c r="Q301" s="85"/>
      <c r="R301" s="104"/>
      <c r="S301" s="12"/>
      <c r="T301" s="122"/>
      <c r="U301" s="43"/>
      <c r="AD301" s="44"/>
      <c r="AE301" s="35"/>
      <c r="AF301" s="35"/>
    </row>
    <row r="302" spans="1:32" s="28" customFormat="1" ht="33" customHeight="1" x14ac:dyDescent="0.5">
      <c r="A302" s="123"/>
      <c r="B302" s="502"/>
      <c r="C302" s="104"/>
      <c r="D302" s="104"/>
      <c r="E302" s="124"/>
      <c r="F302" s="124"/>
      <c r="G302" s="93"/>
      <c r="H302" s="93"/>
      <c r="I302" s="365"/>
      <c r="J302" s="365"/>
      <c r="K302" s="365"/>
      <c r="L302" s="365"/>
      <c r="M302" s="365"/>
      <c r="N302" s="365"/>
      <c r="O302" s="16"/>
      <c r="P302" s="104"/>
      <c r="Q302" s="85"/>
      <c r="R302" s="104"/>
      <c r="S302" s="8" t="s">
        <v>0</v>
      </c>
      <c r="T302" s="19">
        <f xml:space="preserve"> SUM(H299:H303)-SUM($G299:$G303)</f>
        <v>0</v>
      </c>
      <c r="U302" s="36"/>
      <c r="AD302" s="44"/>
      <c r="AE302" s="35"/>
      <c r="AF302" s="35"/>
    </row>
    <row r="303" spans="1:32" s="28" customFormat="1" ht="33" customHeight="1" thickBot="1" x14ac:dyDescent="0.55000000000000004">
      <c r="A303" s="125"/>
      <c r="B303" s="503"/>
      <c r="C303" s="126"/>
      <c r="D303" s="126"/>
      <c r="E303" s="127"/>
      <c r="F303" s="127"/>
      <c r="G303" s="128"/>
      <c r="H303" s="128"/>
      <c r="I303" s="370"/>
      <c r="J303" s="370"/>
      <c r="K303" s="370"/>
      <c r="L303" s="370"/>
      <c r="M303" s="370"/>
      <c r="N303" s="370"/>
      <c r="O303" s="21"/>
      <c r="P303" s="126"/>
      <c r="Q303" s="129"/>
      <c r="R303" s="126"/>
      <c r="S303" s="130" t="s">
        <v>4</v>
      </c>
      <c r="T303" s="27">
        <f xml:space="preserve"> SUM(M299:M303)-SUM($J299:$J303)</f>
        <v>0</v>
      </c>
      <c r="U303" s="36"/>
      <c r="AD303" s="44"/>
      <c r="AE303" s="35"/>
      <c r="AF303" s="35"/>
    </row>
    <row r="304" spans="1:32" s="28" customFormat="1" ht="33" customHeight="1" x14ac:dyDescent="0.5">
      <c r="A304" s="83" t="s">
        <v>145</v>
      </c>
      <c r="B304" s="504" t="s">
        <v>1</v>
      </c>
      <c r="C304" s="101"/>
      <c r="D304" s="101"/>
      <c r="E304" s="73"/>
      <c r="F304" s="73"/>
      <c r="G304" s="74"/>
      <c r="H304" s="74"/>
      <c r="I304" s="364"/>
      <c r="J304" s="364"/>
      <c r="K304" s="364"/>
      <c r="L304" s="364"/>
      <c r="M304" s="364"/>
      <c r="N304" s="186"/>
      <c r="O304" s="48"/>
      <c r="P304" s="186"/>
      <c r="Q304" s="48"/>
      <c r="R304" s="186"/>
      <c r="S304" s="185"/>
      <c r="T304" s="75"/>
      <c r="U304" s="43"/>
      <c r="AD304" s="44"/>
      <c r="AE304" s="35"/>
      <c r="AF304" s="35"/>
    </row>
    <row r="305" spans="1:32" s="28" customFormat="1" ht="33" customHeight="1" x14ac:dyDescent="0.5">
      <c r="A305" s="56" t="s">
        <v>11</v>
      </c>
      <c r="B305" s="505"/>
      <c r="C305" s="102"/>
      <c r="D305" s="102"/>
      <c r="E305" s="57"/>
      <c r="F305" s="57"/>
      <c r="G305" s="58"/>
      <c r="H305" s="58"/>
      <c r="I305" s="366"/>
      <c r="J305" s="366"/>
      <c r="K305" s="366"/>
      <c r="L305" s="366"/>
      <c r="M305" s="366"/>
      <c r="N305" s="366"/>
      <c r="O305" s="14"/>
      <c r="P305" s="106"/>
      <c r="Q305" s="14"/>
      <c r="R305" s="106"/>
      <c r="S305" s="1" t="s">
        <v>215</v>
      </c>
      <c r="T305" s="112"/>
      <c r="U305" s="43"/>
      <c r="AD305" s="44"/>
      <c r="AE305" s="35"/>
      <c r="AF305" s="35"/>
    </row>
    <row r="306" spans="1:32" s="28" customFormat="1" ht="33" customHeight="1" x14ac:dyDescent="0.5">
      <c r="A306" s="56" t="s">
        <v>161</v>
      </c>
      <c r="B306" s="505"/>
      <c r="C306" s="102"/>
      <c r="D306" s="102"/>
      <c r="E306" s="57"/>
      <c r="F306" s="57"/>
      <c r="G306" s="77"/>
      <c r="H306" s="77"/>
      <c r="I306" s="365"/>
      <c r="J306" s="365"/>
      <c r="K306" s="365"/>
      <c r="L306" s="365"/>
      <c r="M306" s="365"/>
      <c r="N306" s="104"/>
      <c r="O306" s="14"/>
      <c r="P306" s="106"/>
      <c r="Q306" s="14"/>
      <c r="R306" s="104"/>
      <c r="S306" s="1"/>
      <c r="T306" s="95"/>
      <c r="U306" s="43"/>
      <c r="AD306" s="44"/>
      <c r="AE306" s="35"/>
      <c r="AF306" s="35"/>
    </row>
    <row r="307" spans="1:32" s="28" customFormat="1" ht="33" customHeight="1" x14ac:dyDescent="0.5">
      <c r="A307" s="56"/>
      <c r="B307" s="505"/>
      <c r="C307" s="99"/>
      <c r="D307" s="99"/>
      <c r="E307" s="76"/>
      <c r="F307" s="76"/>
      <c r="G307" s="77"/>
      <c r="H307" s="77"/>
      <c r="I307" s="365"/>
      <c r="J307" s="365"/>
      <c r="K307" s="365"/>
      <c r="L307" s="365"/>
      <c r="M307" s="365"/>
      <c r="N307" s="365"/>
      <c r="O307" s="14"/>
      <c r="P307" s="104"/>
      <c r="Q307" s="53"/>
      <c r="R307" s="104"/>
      <c r="S307" s="1" t="s">
        <v>0</v>
      </c>
      <c r="T307" s="2">
        <f xml:space="preserve"> SUM(H304:H308)-SUM($G304:$G308)</f>
        <v>0</v>
      </c>
      <c r="U307" s="36"/>
      <c r="AD307" s="44"/>
      <c r="AE307" s="35"/>
      <c r="AF307" s="35"/>
    </row>
    <row r="308" spans="1:32" s="28" customFormat="1" ht="33" customHeight="1" thickBot="1" x14ac:dyDescent="0.55000000000000004">
      <c r="A308" s="84"/>
      <c r="B308" s="506"/>
      <c r="C308" s="100"/>
      <c r="D308" s="100"/>
      <c r="E308" s="78"/>
      <c r="F308" s="78"/>
      <c r="G308" s="79"/>
      <c r="H308" s="79"/>
      <c r="I308" s="370"/>
      <c r="J308" s="370"/>
      <c r="K308" s="370"/>
      <c r="L308" s="370"/>
      <c r="M308" s="370"/>
      <c r="N308" s="370"/>
      <c r="O308" s="64"/>
      <c r="P308" s="126"/>
      <c r="Q308" s="80"/>
      <c r="R308" s="126"/>
      <c r="S308" s="81" t="s">
        <v>4</v>
      </c>
      <c r="T308" s="66">
        <f xml:space="preserve"> SUM(M304:M308)-SUM($J304:$J308)</f>
        <v>0</v>
      </c>
      <c r="U308" s="36"/>
      <c r="AD308" s="44"/>
      <c r="AE308" s="35"/>
      <c r="AF308" s="35"/>
    </row>
    <row r="309" spans="1:32" s="28" customFormat="1" ht="33" customHeight="1" x14ac:dyDescent="0.5">
      <c r="A309" s="120" t="s">
        <v>150</v>
      </c>
      <c r="B309" s="480" t="s">
        <v>1</v>
      </c>
      <c r="C309" s="105"/>
      <c r="D309" s="105"/>
      <c r="E309" s="89"/>
      <c r="F309" s="89"/>
      <c r="G309" s="90"/>
      <c r="H309" s="90"/>
      <c r="I309" s="364"/>
      <c r="J309" s="364"/>
      <c r="K309" s="364"/>
      <c r="L309" s="364"/>
      <c r="M309" s="364"/>
      <c r="N309" s="186"/>
      <c r="O309" s="86"/>
      <c r="P309" s="186"/>
      <c r="Q309" s="86"/>
      <c r="R309" s="186"/>
      <c r="S309" s="54"/>
      <c r="T309" s="91"/>
      <c r="U309" s="43"/>
      <c r="AD309" s="44"/>
    </row>
    <row r="310" spans="1:32" s="28" customFormat="1" ht="33" customHeight="1" x14ac:dyDescent="0.5">
      <c r="A310" s="123" t="s">
        <v>11</v>
      </c>
      <c r="B310" s="481"/>
      <c r="C310" s="106"/>
      <c r="D310" s="106"/>
      <c r="E310" s="92"/>
      <c r="F310" s="92"/>
      <c r="G310" s="93"/>
      <c r="H310" s="93"/>
      <c r="I310" s="365"/>
      <c r="J310" s="365"/>
      <c r="K310" s="365"/>
      <c r="L310" s="365"/>
      <c r="M310" s="365"/>
      <c r="N310" s="104"/>
      <c r="O310" s="85"/>
      <c r="P310" s="104"/>
      <c r="Q310" s="85"/>
      <c r="R310" s="104"/>
      <c r="S310" s="12" t="s">
        <v>213</v>
      </c>
      <c r="T310" s="94"/>
      <c r="U310" s="43"/>
      <c r="AD310" s="44"/>
    </row>
    <row r="311" spans="1:32" s="28" customFormat="1" ht="33" customHeight="1" x14ac:dyDescent="0.5">
      <c r="A311" s="123" t="s">
        <v>181</v>
      </c>
      <c r="B311" s="481"/>
      <c r="C311" s="106"/>
      <c r="D311" s="106"/>
      <c r="E311" s="92"/>
      <c r="F311" s="92"/>
      <c r="G311" s="93"/>
      <c r="H311" s="93"/>
      <c r="I311" s="365"/>
      <c r="J311" s="365"/>
      <c r="K311" s="365"/>
      <c r="L311" s="365"/>
      <c r="M311" s="365"/>
      <c r="N311" s="104"/>
      <c r="O311" s="85"/>
      <c r="P311" s="104"/>
      <c r="Q311" s="85"/>
      <c r="R311" s="104"/>
      <c r="S311" s="12"/>
      <c r="T311" s="94"/>
      <c r="U311" s="43"/>
      <c r="AD311" s="44"/>
    </row>
    <row r="312" spans="1:32" s="28" customFormat="1" ht="33" customHeight="1" x14ac:dyDescent="0.5">
      <c r="A312" s="70"/>
      <c r="B312" s="481"/>
      <c r="C312" s="106"/>
      <c r="D312" s="106"/>
      <c r="E312" s="17"/>
      <c r="F312" s="17"/>
      <c r="G312" s="18"/>
      <c r="H312" s="18"/>
      <c r="I312" s="371"/>
      <c r="J312" s="371"/>
      <c r="K312" s="371"/>
      <c r="L312" s="371"/>
      <c r="M312" s="371"/>
      <c r="N312" s="371"/>
      <c r="O312" s="16"/>
      <c r="P312" s="106"/>
      <c r="Q312" s="16"/>
      <c r="R312" s="106"/>
      <c r="S312" s="6" t="s">
        <v>0</v>
      </c>
      <c r="T312" s="19">
        <f xml:space="preserve"> SUM(H309:H313)-SUM($G309:$G313)</f>
        <v>0</v>
      </c>
      <c r="U312" s="36"/>
      <c r="AD312" s="44"/>
    </row>
    <row r="313" spans="1:32" s="28" customFormat="1" ht="33" customHeight="1" thickBot="1" x14ac:dyDescent="0.55000000000000004">
      <c r="A313" s="71"/>
      <c r="B313" s="482"/>
      <c r="C313" s="107"/>
      <c r="D313" s="107"/>
      <c r="E313" s="20"/>
      <c r="F313" s="20"/>
      <c r="G313" s="22"/>
      <c r="H313" s="22"/>
      <c r="I313" s="372"/>
      <c r="J313" s="372"/>
      <c r="K313" s="372"/>
      <c r="L313" s="372"/>
      <c r="M313" s="372"/>
      <c r="N313" s="372"/>
      <c r="O313" s="21"/>
      <c r="P313" s="107"/>
      <c r="Q313" s="21"/>
      <c r="R313" s="107"/>
      <c r="S313" s="23" t="s">
        <v>4</v>
      </c>
      <c r="T313" s="27">
        <f xml:space="preserve"> SUM(M312:M313)-SUM($J312:$J313)</f>
        <v>0</v>
      </c>
      <c r="U313" s="36"/>
      <c r="AD313" s="44"/>
    </row>
    <row r="314" spans="1:32" s="229" customFormat="1" ht="33" customHeight="1" x14ac:dyDescent="0.5">
      <c r="A314" s="292" t="s">
        <v>165</v>
      </c>
      <c r="B314" s="477" t="s">
        <v>10</v>
      </c>
      <c r="C314" s="194"/>
      <c r="D314" s="194"/>
      <c r="E314" s="255"/>
      <c r="F314" s="255"/>
      <c r="G314" s="74"/>
      <c r="H314" s="74"/>
      <c r="I314" s="359"/>
      <c r="J314" s="359"/>
      <c r="K314" s="359"/>
      <c r="L314" s="359"/>
      <c r="M314" s="359"/>
      <c r="N314" s="381"/>
      <c r="O314" s="48"/>
      <c r="P314" s="381"/>
      <c r="Q314" s="48"/>
      <c r="R314" s="381"/>
      <c r="S314" s="196" t="s">
        <v>47</v>
      </c>
      <c r="T314" s="257"/>
      <c r="U314" s="198"/>
      <c r="AD314" s="230"/>
    </row>
    <row r="315" spans="1:32" s="229" customFormat="1" ht="33" customHeight="1" x14ac:dyDescent="0.5">
      <c r="A315" s="294" t="s">
        <v>11</v>
      </c>
      <c r="B315" s="478"/>
      <c r="C315" s="202" t="s">
        <v>222</v>
      </c>
      <c r="D315" s="202" t="s">
        <v>43</v>
      </c>
      <c r="E315" s="76" t="s">
        <v>10</v>
      </c>
      <c r="F315" s="76" t="s">
        <v>46</v>
      </c>
      <c r="G315" s="77">
        <v>0.35416666666666669</v>
      </c>
      <c r="H315" s="77">
        <v>0.39583333333333331</v>
      </c>
      <c r="I315" s="365">
        <v>0.34652777777777777</v>
      </c>
      <c r="J315" s="365">
        <v>0.35069444444444442</v>
      </c>
      <c r="K315" s="365">
        <v>0.35555555555555557</v>
      </c>
      <c r="L315" s="365">
        <v>0.39374999999999999</v>
      </c>
      <c r="M315" s="365">
        <v>0.39583333333333331</v>
      </c>
      <c r="N315" s="365">
        <f t="shared" ref="N315:N316" si="7">SUM(M315-J315)</f>
        <v>4.5138888888888895E-2</v>
      </c>
      <c r="O315" s="53">
        <v>15</v>
      </c>
      <c r="P315" s="104">
        <v>7</v>
      </c>
      <c r="Q315" s="53" t="s">
        <v>48</v>
      </c>
      <c r="R315" s="104" t="s">
        <v>48</v>
      </c>
      <c r="S315" s="242" t="s">
        <v>272</v>
      </c>
      <c r="T315" s="260"/>
      <c r="U315" s="198"/>
      <c r="AD315" s="230"/>
    </row>
    <row r="316" spans="1:32" s="229" customFormat="1" ht="33" customHeight="1" x14ac:dyDescent="0.5">
      <c r="A316" s="294" t="s">
        <v>178</v>
      </c>
      <c r="B316" s="478"/>
      <c r="C316" s="202"/>
      <c r="D316" s="202"/>
      <c r="E316" s="76" t="s">
        <v>46</v>
      </c>
      <c r="F316" s="76" t="s">
        <v>10</v>
      </c>
      <c r="G316" s="77">
        <v>0.42708333333333331</v>
      </c>
      <c r="H316" s="77">
        <v>0.46875</v>
      </c>
      <c r="I316" s="365">
        <v>0.42083333333333334</v>
      </c>
      <c r="J316" s="365">
        <v>0.42430555555555555</v>
      </c>
      <c r="K316" s="365">
        <v>0.42499999999999999</v>
      </c>
      <c r="L316" s="365">
        <v>0.45694444444444443</v>
      </c>
      <c r="M316" s="365">
        <v>0.45902777777777776</v>
      </c>
      <c r="N316" s="365">
        <f t="shared" si="7"/>
        <v>3.472222222222221E-2</v>
      </c>
      <c r="O316" s="53">
        <v>13</v>
      </c>
      <c r="P316" s="104">
        <v>7</v>
      </c>
      <c r="Q316" s="53" t="s">
        <v>48</v>
      </c>
      <c r="R316" s="104" t="s">
        <v>48</v>
      </c>
      <c r="S316" s="242" t="s">
        <v>272</v>
      </c>
      <c r="T316" s="260"/>
      <c r="U316" s="198"/>
      <c r="AD316" s="230"/>
    </row>
    <row r="317" spans="1:32" s="229" customFormat="1" ht="33" customHeight="1" x14ac:dyDescent="0.5">
      <c r="A317" s="294"/>
      <c r="B317" s="478"/>
      <c r="C317" s="202"/>
      <c r="D317" s="202"/>
      <c r="E317" s="259"/>
      <c r="F317" s="259"/>
      <c r="G317" s="77"/>
      <c r="H317" s="77"/>
      <c r="I317" s="360"/>
      <c r="J317" s="360"/>
      <c r="K317" s="360"/>
      <c r="L317" s="360"/>
      <c r="M317" s="360"/>
      <c r="N317" s="287"/>
      <c r="O317" s="53"/>
      <c r="P317" s="287"/>
      <c r="Q317" s="53"/>
      <c r="R317" s="287"/>
      <c r="S317" s="184" t="s">
        <v>49</v>
      </c>
      <c r="T317" s="260"/>
      <c r="U317" s="198"/>
      <c r="AD317" s="230"/>
    </row>
    <row r="318" spans="1:32" s="229" customFormat="1" ht="33" customHeight="1" x14ac:dyDescent="0.5">
      <c r="A318" s="294"/>
      <c r="B318" s="478"/>
      <c r="C318" s="202"/>
      <c r="D318" s="202"/>
      <c r="E318" s="76" t="s">
        <v>10</v>
      </c>
      <c r="F318" s="76" t="s">
        <v>35</v>
      </c>
      <c r="G318" s="77">
        <v>0.5</v>
      </c>
      <c r="H318" s="77">
        <v>0.53125</v>
      </c>
      <c r="I318" s="365">
        <v>0.47152777777777777</v>
      </c>
      <c r="J318" s="365">
        <v>0.47499999999999998</v>
      </c>
      <c r="K318" s="365">
        <v>0.47638888888888886</v>
      </c>
      <c r="L318" s="365">
        <v>0.50624999999999998</v>
      </c>
      <c r="M318" s="365">
        <v>0.50972222222222219</v>
      </c>
      <c r="N318" s="365">
        <f>SUM(M318-J318)</f>
        <v>3.472222222222221E-2</v>
      </c>
      <c r="O318" s="53">
        <v>1</v>
      </c>
      <c r="P318" s="104">
        <v>4</v>
      </c>
      <c r="Q318" s="53" t="s">
        <v>48</v>
      </c>
      <c r="R318" s="104" t="s">
        <v>48</v>
      </c>
      <c r="S318" s="242" t="s">
        <v>268</v>
      </c>
      <c r="T318" s="260"/>
      <c r="U318" s="198"/>
      <c r="AD318" s="230"/>
    </row>
    <row r="319" spans="1:32" s="229" customFormat="1" ht="33" customHeight="1" x14ac:dyDescent="0.5">
      <c r="A319" s="294"/>
      <c r="B319" s="478"/>
      <c r="C319" s="202"/>
      <c r="D319" s="202"/>
      <c r="E319" s="259"/>
      <c r="F319" s="259"/>
      <c r="G319" s="77"/>
      <c r="H319" s="77"/>
      <c r="I319" s="360"/>
      <c r="J319" s="360"/>
      <c r="K319" s="360"/>
      <c r="L319" s="360"/>
      <c r="M319" s="360"/>
      <c r="N319" s="287"/>
      <c r="O319" s="53"/>
      <c r="P319" s="287"/>
      <c r="Q319" s="53"/>
      <c r="R319" s="287"/>
      <c r="S319" s="184" t="s">
        <v>47</v>
      </c>
      <c r="T319" s="260"/>
      <c r="U319" s="198"/>
      <c r="AD319" s="230"/>
    </row>
    <row r="320" spans="1:32" s="229" customFormat="1" ht="33" customHeight="1" x14ac:dyDescent="0.5">
      <c r="A320" s="294"/>
      <c r="B320" s="478"/>
      <c r="C320" s="202" t="s">
        <v>223</v>
      </c>
      <c r="D320" s="202" t="s">
        <v>43</v>
      </c>
      <c r="E320" s="76" t="s">
        <v>35</v>
      </c>
      <c r="F320" s="76" t="s">
        <v>124</v>
      </c>
      <c r="G320" s="77">
        <v>0.5625</v>
      </c>
      <c r="H320" s="77">
        <v>0.59375</v>
      </c>
      <c r="I320" s="365">
        <v>0.53125</v>
      </c>
      <c r="J320" s="365">
        <v>0.53472222222222221</v>
      </c>
      <c r="K320" s="365">
        <v>0.53680555555555554</v>
      </c>
      <c r="L320" s="365">
        <v>0.56597222222222221</v>
      </c>
      <c r="M320" s="365">
        <v>0.56805555555555554</v>
      </c>
      <c r="N320" s="365">
        <f t="shared" ref="N320:N321" si="8">SUM(M320-J320)</f>
        <v>3.3333333333333326E-2</v>
      </c>
      <c r="O320" s="53">
        <v>16</v>
      </c>
      <c r="P320" s="104">
        <v>12</v>
      </c>
      <c r="Q320" s="53" t="s">
        <v>48</v>
      </c>
      <c r="R320" s="104" t="s">
        <v>48</v>
      </c>
      <c r="S320" s="242" t="s">
        <v>196</v>
      </c>
      <c r="T320" s="260"/>
      <c r="U320" s="198"/>
      <c r="AD320" s="230"/>
    </row>
    <row r="321" spans="1:30" s="229" customFormat="1" ht="33" customHeight="1" x14ac:dyDescent="0.5">
      <c r="A321" s="306"/>
      <c r="B321" s="478"/>
      <c r="C321" s="202"/>
      <c r="D321" s="202"/>
      <c r="E321" s="76" t="s">
        <v>124</v>
      </c>
      <c r="F321" s="76" t="s">
        <v>35</v>
      </c>
      <c r="G321" s="77">
        <v>0.61458333333333337</v>
      </c>
      <c r="H321" s="77">
        <v>0.64583333333333337</v>
      </c>
      <c r="I321" s="365">
        <v>0.58680555555555558</v>
      </c>
      <c r="J321" s="365">
        <v>0.59027777777777779</v>
      </c>
      <c r="K321" s="365">
        <v>0.59097222222222223</v>
      </c>
      <c r="L321" s="365">
        <v>0.61944444444444446</v>
      </c>
      <c r="M321" s="365">
        <v>0.62291666666666667</v>
      </c>
      <c r="N321" s="365">
        <f t="shared" si="8"/>
        <v>3.2638888888888884E-2</v>
      </c>
      <c r="O321" s="53">
        <v>15</v>
      </c>
      <c r="P321" s="104">
        <v>5</v>
      </c>
      <c r="Q321" s="53" t="s">
        <v>48</v>
      </c>
      <c r="R321" s="104" t="s">
        <v>48</v>
      </c>
      <c r="S321" s="242" t="s">
        <v>196</v>
      </c>
      <c r="T321" s="260"/>
      <c r="U321" s="198"/>
      <c r="AD321" s="230"/>
    </row>
    <row r="322" spans="1:30" s="229" customFormat="1" ht="33" customHeight="1" x14ac:dyDescent="0.5">
      <c r="A322" s="306"/>
      <c r="B322" s="478"/>
      <c r="C322" s="202"/>
      <c r="D322" s="202"/>
      <c r="E322" s="259"/>
      <c r="F322" s="259"/>
      <c r="G322" s="77"/>
      <c r="H322" s="77"/>
      <c r="I322" s="360"/>
      <c r="J322" s="360"/>
      <c r="K322" s="360"/>
      <c r="L322" s="360"/>
      <c r="M322" s="360"/>
      <c r="N322" s="287"/>
      <c r="O322" s="53"/>
      <c r="P322" s="287"/>
      <c r="Q322" s="53"/>
      <c r="R322" s="287"/>
      <c r="S322" s="184" t="s">
        <v>49</v>
      </c>
      <c r="T322" s="260"/>
      <c r="U322" s="198"/>
      <c r="AD322" s="230"/>
    </row>
    <row r="323" spans="1:30" s="229" customFormat="1" ht="33" customHeight="1" x14ac:dyDescent="0.5">
      <c r="A323" s="294"/>
      <c r="B323" s="478"/>
      <c r="C323" s="202" t="s">
        <v>222</v>
      </c>
      <c r="D323" s="202" t="s">
        <v>43</v>
      </c>
      <c r="E323" s="76" t="s">
        <v>35</v>
      </c>
      <c r="F323" s="76" t="s">
        <v>10</v>
      </c>
      <c r="G323" s="77">
        <v>0.67708333333333337</v>
      </c>
      <c r="H323" s="77">
        <v>0.70833333333333337</v>
      </c>
      <c r="I323" s="365">
        <v>0.64375000000000004</v>
      </c>
      <c r="J323" s="365">
        <v>0.64722222222222225</v>
      </c>
      <c r="K323" s="365">
        <v>0.6479166666666667</v>
      </c>
      <c r="L323" s="365">
        <v>0.67708333333333337</v>
      </c>
      <c r="M323" s="365">
        <v>0.6791666666666667</v>
      </c>
      <c r="N323" s="365">
        <f>SUM(M323-J323)</f>
        <v>3.1944444444444442E-2</v>
      </c>
      <c r="O323" s="53">
        <v>16</v>
      </c>
      <c r="P323" s="104">
        <v>3</v>
      </c>
      <c r="Q323" s="53" t="s">
        <v>48</v>
      </c>
      <c r="R323" s="104" t="s">
        <v>48</v>
      </c>
      <c r="S323" s="242" t="s">
        <v>268</v>
      </c>
      <c r="T323" s="260"/>
      <c r="U323" s="198"/>
      <c r="AD323" s="230"/>
    </row>
    <row r="324" spans="1:30" s="229" customFormat="1" ht="33" customHeight="1" x14ac:dyDescent="0.5">
      <c r="A324" s="294"/>
      <c r="B324" s="478"/>
      <c r="C324" s="202"/>
      <c r="D324" s="202"/>
      <c r="E324" s="259"/>
      <c r="F324" s="259"/>
      <c r="G324" s="77"/>
      <c r="H324" s="77"/>
      <c r="I324" s="360"/>
      <c r="J324" s="360"/>
      <c r="K324" s="360"/>
      <c r="L324" s="360"/>
      <c r="M324" s="360"/>
      <c r="N324" s="287"/>
      <c r="O324" s="53"/>
      <c r="P324" s="287"/>
      <c r="Q324" s="53"/>
      <c r="R324" s="287"/>
      <c r="S324" s="242"/>
      <c r="T324" s="260"/>
      <c r="U324" s="198"/>
      <c r="AD324" s="230"/>
    </row>
    <row r="325" spans="1:30" s="229" customFormat="1" ht="33" customHeight="1" x14ac:dyDescent="0.5">
      <c r="A325" s="294"/>
      <c r="B325" s="478"/>
      <c r="C325" s="202"/>
      <c r="D325" s="202"/>
      <c r="E325" s="259"/>
      <c r="F325" s="259"/>
      <c r="G325" s="77"/>
      <c r="H325" s="77"/>
      <c r="I325" s="360"/>
      <c r="J325" s="360"/>
      <c r="K325" s="360"/>
      <c r="L325" s="360"/>
      <c r="M325" s="360"/>
      <c r="N325" s="287"/>
      <c r="O325" s="53"/>
      <c r="P325" s="287"/>
      <c r="Q325" s="53"/>
      <c r="R325" s="287"/>
      <c r="S325" s="146" t="s">
        <v>142</v>
      </c>
      <c r="T325" s="230"/>
      <c r="U325" s="198"/>
      <c r="AD325" s="230"/>
    </row>
    <row r="326" spans="1:30" s="229" customFormat="1" ht="33" customHeight="1" x14ac:dyDescent="0.5">
      <c r="A326" s="294"/>
      <c r="B326" s="478"/>
      <c r="C326" s="202"/>
      <c r="D326" s="202"/>
      <c r="E326" s="259"/>
      <c r="F326" s="259"/>
      <c r="G326" s="77"/>
      <c r="H326" s="77"/>
      <c r="I326" s="360"/>
      <c r="J326" s="360"/>
      <c r="K326" s="360"/>
      <c r="L326" s="360"/>
      <c r="M326" s="360"/>
      <c r="N326" s="287"/>
      <c r="O326" s="53"/>
      <c r="P326" s="287"/>
      <c r="Q326" s="53"/>
      <c r="R326" s="287"/>
      <c r="S326" s="9" t="s">
        <v>98</v>
      </c>
      <c r="T326" s="269"/>
      <c r="U326" s="198"/>
      <c r="AD326" s="230"/>
    </row>
    <row r="327" spans="1:30" s="229" customFormat="1" ht="33" customHeight="1" x14ac:dyDescent="0.5">
      <c r="A327" s="294"/>
      <c r="B327" s="478"/>
      <c r="C327" s="202"/>
      <c r="D327" s="202"/>
      <c r="E327" s="259"/>
      <c r="F327" s="259"/>
      <c r="G327" s="77"/>
      <c r="H327" s="77"/>
      <c r="I327" s="360"/>
      <c r="J327" s="360"/>
      <c r="K327" s="360"/>
      <c r="L327" s="360"/>
      <c r="M327" s="360"/>
      <c r="N327" s="287"/>
      <c r="O327" s="53"/>
      <c r="P327" s="287"/>
      <c r="Q327" s="53"/>
      <c r="R327" s="287"/>
      <c r="S327" s="9" t="s">
        <v>99</v>
      </c>
      <c r="T327" s="269"/>
      <c r="U327" s="198"/>
      <c r="AD327" s="230"/>
    </row>
    <row r="328" spans="1:30" s="229" customFormat="1" ht="33" customHeight="1" x14ac:dyDescent="0.5">
      <c r="A328" s="294"/>
      <c r="B328" s="478"/>
      <c r="C328" s="202"/>
      <c r="D328" s="202"/>
      <c r="E328" s="259"/>
      <c r="F328" s="259"/>
      <c r="G328" s="77"/>
      <c r="H328" s="77"/>
      <c r="I328" s="360"/>
      <c r="J328" s="360"/>
      <c r="K328" s="360"/>
      <c r="L328" s="360"/>
      <c r="M328" s="360"/>
      <c r="N328" s="287"/>
      <c r="O328" s="53"/>
      <c r="P328" s="287"/>
      <c r="Q328" s="53"/>
      <c r="R328" s="287"/>
      <c r="S328" s="272" t="s">
        <v>110</v>
      </c>
      <c r="T328" s="269"/>
      <c r="U328" s="198"/>
      <c r="AD328" s="230"/>
    </row>
    <row r="329" spans="1:30" s="229" customFormat="1" ht="33" customHeight="1" x14ac:dyDescent="0.5">
      <c r="A329" s="294"/>
      <c r="B329" s="478"/>
      <c r="C329" s="202"/>
      <c r="D329" s="202"/>
      <c r="E329" s="259"/>
      <c r="F329" s="259"/>
      <c r="G329" s="77"/>
      <c r="H329" s="77"/>
      <c r="I329" s="360"/>
      <c r="J329" s="360"/>
      <c r="K329" s="360"/>
      <c r="L329" s="360"/>
      <c r="M329" s="360"/>
      <c r="N329" s="287"/>
      <c r="O329" s="53"/>
      <c r="P329" s="287"/>
      <c r="Q329" s="53"/>
      <c r="R329" s="287"/>
      <c r="S329" s="9" t="s">
        <v>100</v>
      </c>
      <c r="T329" s="273"/>
      <c r="U329" s="198"/>
      <c r="AD329" s="230"/>
    </row>
    <row r="330" spans="1:30" s="229" customFormat="1" ht="33" customHeight="1" x14ac:dyDescent="0.5">
      <c r="A330" s="294"/>
      <c r="B330" s="478"/>
      <c r="C330" s="202"/>
      <c r="D330" s="202"/>
      <c r="E330" s="259"/>
      <c r="F330" s="259"/>
      <c r="G330" s="77"/>
      <c r="H330" s="77"/>
      <c r="I330" s="360"/>
      <c r="J330" s="360"/>
      <c r="K330" s="360"/>
      <c r="L330" s="360"/>
      <c r="M330" s="360"/>
      <c r="N330" s="287"/>
      <c r="O330" s="53"/>
      <c r="P330" s="287"/>
      <c r="Q330" s="53"/>
      <c r="R330" s="287"/>
      <c r="S330" s="146" t="s">
        <v>111</v>
      </c>
      <c r="T330" s="273"/>
      <c r="U330" s="198"/>
      <c r="AD330" s="230"/>
    </row>
    <row r="331" spans="1:30" s="229" customFormat="1" ht="33" customHeight="1" x14ac:dyDescent="0.5">
      <c r="A331" s="294"/>
      <c r="B331" s="478"/>
      <c r="C331" s="202"/>
      <c r="D331" s="202"/>
      <c r="E331" s="259"/>
      <c r="F331" s="259"/>
      <c r="G331" s="77"/>
      <c r="H331" s="77"/>
      <c r="I331" s="360"/>
      <c r="J331" s="360"/>
      <c r="K331" s="360"/>
      <c r="L331" s="360"/>
      <c r="M331" s="360"/>
      <c r="N331" s="287"/>
      <c r="O331" s="53"/>
      <c r="P331" s="287"/>
      <c r="Q331" s="53"/>
      <c r="R331" s="287"/>
      <c r="S331" s="242"/>
      <c r="T331" s="260"/>
      <c r="U331" s="198"/>
      <c r="AD331" s="230"/>
    </row>
    <row r="332" spans="1:30" s="229" customFormat="1" ht="33" customHeight="1" x14ac:dyDescent="0.5">
      <c r="A332" s="294"/>
      <c r="B332" s="478"/>
      <c r="C332" s="202"/>
      <c r="D332" s="202"/>
      <c r="E332" s="259"/>
      <c r="F332" s="259"/>
      <c r="G332" s="77"/>
      <c r="H332" s="77"/>
      <c r="I332" s="360"/>
      <c r="J332" s="360"/>
      <c r="K332" s="360"/>
      <c r="L332" s="360"/>
      <c r="M332" s="360"/>
      <c r="N332" s="287"/>
      <c r="O332" s="53"/>
      <c r="P332" s="287"/>
      <c r="Q332" s="53"/>
      <c r="R332" s="287"/>
      <c r="S332" s="146" t="s">
        <v>73</v>
      </c>
      <c r="T332" s="237"/>
      <c r="U332" s="198"/>
      <c r="AD332" s="230"/>
    </row>
    <row r="333" spans="1:30" s="229" customFormat="1" ht="33" customHeight="1" x14ac:dyDescent="0.5">
      <c r="A333" s="294"/>
      <c r="B333" s="478"/>
      <c r="C333" s="202"/>
      <c r="D333" s="202"/>
      <c r="E333" s="259"/>
      <c r="F333" s="259"/>
      <c r="G333" s="77"/>
      <c r="H333" s="77"/>
      <c r="I333" s="360"/>
      <c r="J333" s="360"/>
      <c r="K333" s="360"/>
      <c r="L333" s="360"/>
      <c r="M333" s="360"/>
      <c r="N333" s="287"/>
      <c r="O333" s="53"/>
      <c r="P333" s="287"/>
      <c r="Q333" s="53"/>
      <c r="R333" s="287"/>
      <c r="S333" s="207" t="s">
        <v>74</v>
      </c>
      <c r="T333" s="238"/>
      <c r="U333" s="198"/>
      <c r="AD333" s="230"/>
    </row>
    <row r="334" spans="1:30" s="229" customFormat="1" ht="33" customHeight="1" x14ac:dyDescent="0.5">
      <c r="A334" s="294"/>
      <c r="B334" s="478"/>
      <c r="C334" s="202"/>
      <c r="D334" s="202"/>
      <c r="E334" s="259"/>
      <c r="F334" s="259"/>
      <c r="G334" s="77"/>
      <c r="H334" s="77"/>
      <c r="I334" s="360"/>
      <c r="J334" s="360"/>
      <c r="K334" s="360"/>
      <c r="L334" s="360"/>
      <c r="M334" s="360"/>
      <c r="N334" s="287"/>
      <c r="O334" s="53"/>
      <c r="P334" s="287"/>
      <c r="Q334" s="53"/>
      <c r="R334" s="287"/>
      <c r="S334" s="207" t="s">
        <v>75</v>
      </c>
      <c r="T334" s="238"/>
      <c r="U334" s="198"/>
      <c r="AD334" s="230"/>
    </row>
    <row r="335" spans="1:30" s="229" customFormat="1" ht="33" customHeight="1" x14ac:dyDescent="0.5">
      <c r="A335" s="294"/>
      <c r="B335" s="478"/>
      <c r="C335" s="202"/>
      <c r="D335" s="202"/>
      <c r="E335" s="259"/>
      <c r="F335" s="259"/>
      <c r="G335" s="77"/>
      <c r="H335" s="77"/>
      <c r="I335" s="360"/>
      <c r="J335" s="360"/>
      <c r="K335" s="360"/>
      <c r="L335" s="360"/>
      <c r="M335" s="360"/>
      <c r="N335" s="287"/>
      <c r="O335" s="53"/>
      <c r="P335" s="287"/>
      <c r="Q335" s="53"/>
      <c r="R335" s="287"/>
      <c r="S335" s="208" t="s">
        <v>76</v>
      </c>
      <c r="T335" s="238"/>
      <c r="U335" s="198"/>
      <c r="AD335" s="230"/>
    </row>
    <row r="336" spans="1:30" s="229" customFormat="1" ht="33" customHeight="1" x14ac:dyDescent="0.5">
      <c r="A336" s="294"/>
      <c r="B336" s="478"/>
      <c r="C336" s="202"/>
      <c r="D336" s="202"/>
      <c r="E336" s="259"/>
      <c r="F336" s="259"/>
      <c r="G336" s="77"/>
      <c r="H336" s="77"/>
      <c r="I336" s="360"/>
      <c r="J336" s="360"/>
      <c r="K336" s="360"/>
      <c r="L336" s="360"/>
      <c r="M336" s="360"/>
      <c r="N336" s="287"/>
      <c r="O336" s="53"/>
      <c r="P336" s="287"/>
      <c r="Q336" s="53"/>
      <c r="R336" s="287"/>
      <c r="S336" s="209" t="s">
        <v>77</v>
      </c>
      <c r="T336" s="238"/>
      <c r="U336" s="198"/>
      <c r="AD336" s="230"/>
    </row>
    <row r="337" spans="1:30" s="229" customFormat="1" ht="33" customHeight="1" x14ac:dyDescent="0.5">
      <c r="A337" s="294"/>
      <c r="B337" s="478"/>
      <c r="C337" s="202"/>
      <c r="D337" s="202"/>
      <c r="E337" s="259"/>
      <c r="F337" s="259"/>
      <c r="G337" s="77"/>
      <c r="H337" s="77"/>
      <c r="I337" s="360"/>
      <c r="J337" s="360"/>
      <c r="K337" s="360"/>
      <c r="L337" s="360"/>
      <c r="M337" s="360"/>
      <c r="N337" s="287"/>
      <c r="O337" s="53"/>
      <c r="P337" s="287"/>
      <c r="Q337" s="53"/>
      <c r="R337" s="287"/>
      <c r="S337" s="209" t="s">
        <v>78</v>
      </c>
      <c r="T337" s="238"/>
      <c r="U337" s="198"/>
      <c r="AD337" s="230"/>
    </row>
    <row r="338" spans="1:30" s="229" customFormat="1" ht="33" customHeight="1" x14ac:dyDescent="0.5">
      <c r="A338" s="294"/>
      <c r="B338" s="478"/>
      <c r="C338" s="202"/>
      <c r="D338" s="202"/>
      <c r="E338" s="259"/>
      <c r="F338" s="259"/>
      <c r="G338" s="77"/>
      <c r="H338" s="77"/>
      <c r="I338" s="360"/>
      <c r="J338" s="360"/>
      <c r="K338" s="360"/>
      <c r="L338" s="360"/>
      <c r="M338" s="360"/>
      <c r="N338" s="287"/>
      <c r="O338" s="53"/>
      <c r="P338" s="287"/>
      <c r="Q338" s="53"/>
      <c r="R338" s="287"/>
      <c r="S338" s="208" t="s">
        <v>168</v>
      </c>
      <c r="T338" s="239"/>
      <c r="U338" s="198"/>
      <c r="AD338" s="230"/>
    </row>
    <row r="339" spans="1:30" s="229" customFormat="1" ht="33" customHeight="1" x14ac:dyDescent="0.5">
      <c r="A339" s="294"/>
      <c r="B339" s="478"/>
      <c r="C339" s="202"/>
      <c r="D339" s="202"/>
      <c r="E339" s="259"/>
      <c r="F339" s="259"/>
      <c r="G339" s="77"/>
      <c r="H339" s="77"/>
      <c r="I339" s="360"/>
      <c r="J339" s="360"/>
      <c r="K339" s="360"/>
      <c r="L339" s="360"/>
      <c r="M339" s="360"/>
      <c r="N339" s="287"/>
      <c r="O339" s="53"/>
      <c r="P339" s="287"/>
      <c r="Q339" s="53"/>
      <c r="R339" s="287"/>
      <c r="S339" s="210" t="s">
        <v>169</v>
      </c>
      <c r="T339" s="239"/>
      <c r="U339" s="198"/>
      <c r="AD339" s="230"/>
    </row>
    <row r="340" spans="1:30" s="229" customFormat="1" ht="33" customHeight="1" x14ac:dyDescent="0.5">
      <c r="A340" s="294"/>
      <c r="B340" s="478"/>
      <c r="C340" s="202"/>
      <c r="D340" s="202"/>
      <c r="E340" s="259"/>
      <c r="F340" s="259"/>
      <c r="G340" s="77"/>
      <c r="H340" s="77"/>
      <c r="I340" s="360"/>
      <c r="J340" s="360"/>
      <c r="K340" s="360"/>
      <c r="L340" s="360"/>
      <c r="M340" s="360"/>
      <c r="N340" s="287"/>
      <c r="O340" s="53"/>
      <c r="P340" s="287"/>
      <c r="Q340" s="53"/>
      <c r="R340" s="287"/>
      <c r="S340" s="210" t="s">
        <v>170</v>
      </c>
      <c r="T340" s="239"/>
      <c r="U340" s="198"/>
      <c r="AD340" s="230"/>
    </row>
    <row r="341" spans="1:30" s="229" customFormat="1" ht="33" customHeight="1" x14ac:dyDescent="0.5">
      <c r="A341" s="294"/>
      <c r="B341" s="478"/>
      <c r="C341" s="202"/>
      <c r="D341" s="202"/>
      <c r="E341" s="259"/>
      <c r="F341" s="259"/>
      <c r="G341" s="77"/>
      <c r="H341" s="77"/>
      <c r="I341" s="360"/>
      <c r="J341" s="360"/>
      <c r="K341" s="360"/>
      <c r="L341" s="360"/>
      <c r="M341" s="360"/>
      <c r="N341" s="287"/>
      <c r="O341" s="53"/>
      <c r="P341" s="287"/>
      <c r="Q341" s="53"/>
      <c r="R341" s="287"/>
      <c r="S341" s="210" t="s">
        <v>171</v>
      </c>
      <c r="T341" s="239"/>
      <c r="U341" s="198"/>
      <c r="AD341" s="230"/>
    </row>
    <row r="342" spans="1:30" s="229" customFormat="1" ht="33" customHeight="1" x14ac:dyDescent="0.5">
      <c r="A342" s="294"/>
      <c r="B342" s="478"/>
      <c r="C342" s="202"/>
      <c r="D342" s="202"/>
      <c r="E342" s="259"/>
      <c r="F342" s="259"/>
      <c r="G342" s="77"/>
      <c r="H342" s="77"/>
      <c r="I342" s="360"/>
      <c r="J342" s="360"/>
      <c r="K342" s="360"/>
      <c r="L342" s="360"/>
      <c r="M342" s="360"/>
      <c r="N342" s="287"/>
      <c r="O342" s="53"/>
      <c r="P342" s="287"/>
      <c r="Q342" s="53"/>
      <c r="R342" s="287"/>
      <c r="S342" s="211" t="s">
        <v>175</v>
      </c>
      <c r="T342" s="240"/>
      <c r="U342" s="198"/>
      <c r="AD342" s="230"/>
    </row>
    <row r="343" spans="1:30" s="229" customFormat="1" ht="33" customHeight="1" x14ac:dyDescent="0.5">
      <c r="A343" s="294"/>
      <c r="B343" s="478"/>
      <c r="C343" s="202"/>
      <c r="D343" s="202"/>
      <c r="E343" s="259"/>
      <c r="F343" s="259"/>
      <c r="G343" s="77"/>
      <c r="H343" s="77"/>
      <c r="I343" s="360"/>
      <c r="J343" s="360"/>
      <c r="K343" s="360"/>
      <c r="L343" s="360"/>
      <c r="M343" s="360"/>
      <c r="N343" s="287"/>
      <c r="O343" s="53"/>
      <c r="P343" s="287"/>
      <c r="Q343" s="53"/>
      <c r="R343" s="287"/>
      <c r="S343" s="208" t="s">
        <v>176</v>
      </c>
      <c r="T343" s="240"/>
      <c r="U343" s="198"/>
      <c r="AD343" s="230"/>
    </row>
    <row r="344" spans="1:30" s="229" customFormat="1" ht="33" customHeight="1" x14ac:dyDescent="0.5">
      <c r="A344" s="294"/>
      <c r="B344" s="478"/>
      <c r="C344" s="202"/>
      <c r="D344" s="202"/>
      <c r="E344" s="259"/>
      <c r="F344" s="259"/>
      <c r="G344" s="77"/>
      <c r="H344" s="77"/>
      <c r="I344" s="360"/>
      <c r="J344" s="360"/>
      <c r="K344" s="360"/>
      <c r="L344" s="360"/>
      <c r="M344" s="360"/>
      <c r="N344" s="287"/>
      <c r="O344" s="53"/>
      <c r="P344" s="287"/>
      <c r="Q344" s="53"/>
      <c r="R344" s="287"/>
      <c r="S344" s="242"/>
      <c r="T344" s="260"/>
      <c r="U344" s="198"/>
      <c r="AD344" s="230"/>
    </row>
    <row r="345" spans="1:30" s="229" customFormat="1" ht="33" customHeight="1" x14ac:dyDescent="0.5">
      <c r="A345" s="294"/>
      <c r="B345" s="478"/>
      <c r="C345" s="202"/>
      <c r="D345" s="202"/>
      <c r="E345" s="259"/>
      <c r="F345" s="259"/>
      <c r="G345" s="77"/>
      <c r="H345" s="77"/>
      <c r="I345" s="360"/>
      <c r="J345" s="360"/>
      <c r="K345" s="360"/>
      <c r="L345" s="360"/>
      <c r="M345" s="360"/>
      <c r="N345" s="287"/>
      <c r="O345" s="53"/>
      <c r="P345" s="287"/>
      <c r="Q345" s="53"/>
      <c r="R345" s="287"/>
      <c r="S345" s="146" t="s">
        <v>60</v>
      </c>
      <c r="T345" s="275"/>
      <c r="U345" s="198"/>
      <c r="AD345" s="230"/>
    </row>
    <row r="346" spans="1:30" s="229" customFormat="1" ht="33" customHeight="1" x14ac:dyDescent="0.5">
      <c r="A346" s="294"/>
      <c r="B346" s="478"/>
      <c r="C346" s="202"/>
      <c r="D346" s="202"/>
      <c r="E346" s="259"/>
      <c r="F346" s="259"/>
      <c r="G346" s="77"/>
      <c r="H346" s="77"/>
      <c r="I346" s="360"/>
      <c r="J346" s="360"/>
      <c r="K346" s="360"/>
      <c r="L346" s="360"/>
      <c r="M346" s="360"/>
      <c r="N346" s="287"/>
      <c r="O346" s="53"/>
      <c r="P346" s="287"/>
      <c r="Q346" s="53"/>
      <c r="R346" s="287"/>
      <c r="S346" s="146" t="s">
        <v>61</v>
      </c>
      <c r="T346" s="275"/>
      <c r="U346" s="198"/>
      <c r="AD346" s="230"/>
    </row>
    <row r="347" spans="1:30" s="229" customFormat="1" ht="33" customHeight="1" x14ac:dyDescent="0.5">
      <c r="A347" s="294"/>
      <c r="B347" s="478"/>
      <c r="C347" s="202"/>
      <c r="D347" s="202"/>
      <c r="E347" s="259"/>
      <c r="F347" s="259"/>
      <c r="G347" s="77"/>
      <c r="H347" s="77"/>
      <c r="I347" s="360"/>
      <c r="J347" s="360"/>
      <c r="K347" s="360"/>
      <c r="L347" s="360"/>
      <c r="M347" s="360"/>
      <c r="N347" s="287"/>
      <c r="O347" s="53"/>
      <c r="P347" s="287"/>
      <c r="Q347" s="53"/>
      <c r="R347" s="287"/>
      <c r="S347" s="146" t="s">
        <v>62</v>
      </c>
      <c r="T347" s="275"/>
      <c r="U347" s="198"/>
      <c r="AD347" s="230"/>
    </row>
    <row r="348" spans="1:30" s="229" customFormat="1" ht="33" customHeight="1" x14ac:dyDescent="0.5">
      <c r="A348" s="294"/>
      <c r="B348" s="478"/>
      <c r="C348" s="202"/>
      <c r="D348" s="202"/>
      <c r="E348" s="259"/>
      <c r="F348" s="259"/>
      <c r="G348" s="77"/>
      <c r="H348" s="77"/>
      <c r="I348" s="360"/>
      <c r="J348" s="360"/>
      <c r="K348" s="360"/>
      <c r="L348" s="360"/>
      <c r="M348" s="360"/>
      <c r="N348" s="287"/>
      <c r="O348" s="53"/>
      <c r="P348" s="287"/>
      <c r="Q348" s="53"/>
      <c r="R348" s="287"/>
      <c r="S348" s="9" t="s">
        <v>125</v>
      </c>
      <c r="T348" s="275"/>
      <c r="U348" s="198"/>
      <c r="AD348" s="230"/>
    </row>
    <row r="349" spans="1:30" s="229" customFormat="1" ht="33" customHeight="1" x14ac:dyDescent="0.5">
      <c r="A349" s="294"/>
      <c r="B349" s="478"/>
      <c r="C349" s="202"/>
      <c r="D349" s="202"/>
      <c r="E349" s="259"/>
      <c r="F349" s="259"/>
      <c r="G349" s="77"/>
      <c r="H349" s="77"/>
      <c r="I349" s="360"/>
      <c r="J349" s="360"/>
      <c r="K349" s="360"/>
      <c r="L349" s="360"/>
      <c r="M349" s="360"/>
      <c r="N349" s="287"/>
      <c r="O349" s="53"/>
      <c r="P349" s="287"/>
      <c r="Q349" s="53"/>
      <c r="R349" s="287"/>
      <c r="S349" s="146" t="s">
        <v>103</v>
      </c>
      <c r="T349" s="275"/>
      <c r="U349" s="198"/>
      <c r="AD349" s="230"/>
    </row>
    <row r="350" spans="1:30" s="229" customFormat="1" ht="33" customHeight="1" x14ac:dyDescent="0.5">
      <c r="A350" s="294"/>
      <c r="B350" s="478"/>
      <c r="C350" s="202"/>
      <c r="D350" s="202"/>
      <c r="E350" s="259"/>
      <c r="F350" s="259"/>
      <c r="G350" s="77"/>
      <c r="H350" s="77"/>
      <c r="I350" s="360"/>
      <c r="J350" s="360"/>
      <c r="K350" s="360"/>
      <c r="L350" s="360"/>
      <c r="M350" s="360"/>
      <c r="N350" s="287"/>
      <c r="O350" s="53"/>
      <c r="P350" s="287"/>
      <c r="Q350" s="53"/>
      <c r="R350" s="287"/>
      <c r="S350" s="146"/>
      <c r="T350" s="275"/>
      <c r="U350" s="198"/>
      <c r="AD350" s="230"/>
    </row>
    <row r="351" spans="1:30" s="229" customFormat="1" ht="33" customHeight="1" x14ac:dyDescent="0.5">
      <c r="A351" s="294"/>
      <c r="B351" s="478"/>
      <c r="C351" s="202"/>
      <c r="D351" s="202"/>
      <c r="E351" s="259"/>
      <c r="F351" s="259"/>
      <c r="G351" s="77"/>
      <c r="H351" s="77"/>
      <c r="I351" s="360"/>
      <c r="J351" s="360"/>
      <c r="K351" s="360"/>
      <c r="L351" s="360"/>
      <c r="M351" s="360"/>
      <c r="N351" s="287"/>
      <c r="O351" s="53"/>
      <c r="P351" s="287"/>
      <c r="Q351" s="53"/>
      <c r="R351" s="287"/>
      <c r="S351" s="146" t="s">
        <v>197</v>
      </c>
      <c r="T351" s="274" t="s">
        <v>190</v>
      </c>
      <c r="U351" s="198"/>
      <c r="AD351" s="230"/>
    </row>
    <row r="352" spans="1:30" s="229" customFormat="1" ht="33" customHeight="1" x14ac:dyDescent="0.5">
      <c r="A352" s="294"/>
      <c r="B352" s="478"/>
      <c r="C352" s="202"/>
      <c r="D352" s="202"/>
      <c r="E352" s="259"/>
      <c r="F352" s="259"/>
      <c r="G352" s="77"/>
      <c r="H352" s="77"/>
      <c r="I352" s="360"/>
      <c r="J352" s="360"/>
      <c r="K352" s="360"/>
      <c r="L352" s="360"/>
      <c r="M352" s="360"/>
      <c r="N352" s="287"/>
      <c r="O352" s="53"/>
      <c r="P352" s="287"/>
      <c r="Q352" s="53"/>
      <c r="R352" s="287"/>
      <c r="S352" s="146" t="s">
        <v>202</v>
      </c>
      <c r="T352" s="274" t="s">
        <v>190</v>
      </c>
      <c r="U352" s="198"/>
      <c r="AD352" s="230"/>
    </row>
    <row r="353" spans="1:30" s="229" customFormat="1" ht="33" customHeight="1" x14ac:dyDescent="0.5">
      <c r="A353" s="294"/>
      <c r="B353" s="478"/>
      <c r="C353" s="202"/>
      <c r="D353" s="202"/>
      <c r="E353" s="259"/>
      <c r="F353" s="259"/>
      <c r="G353" s="77"/>
      <c r="H353" s="77"/>
      <c r="I353" s="360"/>
      <c r="J353" s="360"/>
      <c r="K353" s="360"/>
      <c r="L353" s="360"/>
      <c r="M353" s="360"/>
      <c r="N353" s="287"/>
      <c r="O353" s="53"/>
      <c r="P353" s="287"/>
      <c r="Q353" s="53"/>
      <c r="R353" s="287"/>
      <c r="S353" s="146" t="s">
        <v>191</v>
      </c>
      <c r="T353" s="274" t="s">
        <v>190</v>
      </c>
      <c r="U353" s="198"/>
      <c r="AD353" s="230"/>
    </row>
    <row r="354" spans="1:30" s="229" customFormat="1" ht="33" customHeight="1" x14ac:dyDescent="0.5">
      <c r="A354" s="294"/>
      <c r="B354" s="478"/>
      <c r="C354" s="202"/>
      <c r="D354" s="202"/>
      <c r="E354" s="259"/>
      <c r="F354" s="259"/>
      <c r="G354" s="77"/>
      <c r="H354" s="77"/>
      <c r="I354" s="360"/>
      <c r="J354" s="360"/>
      <c r="K354" s="360"/>
      <c r="L354" s="360"/>
      <c r="M354" s="360"/>
      <c r="N354" s="287"/>
      <c r="O354" s="53"/>
      <c r="P354" s="287"/>
      <c r="Q354" s="53"/>
      <c r="R354" s="287"/>
      <c r="S354" s="146" t="s">
        <v>203</v>
      </c>
      <c r="T354" s="274" t="s">
        <v>190</v>
      </c>
      <c r="U354" s="198"/>
      <c r="AD354" s="230"/>
    </row>
    <row r="355" spans="1:30" s="229" customFormat="1" ht="33" customHeight="1" x14ac:dyDescent="0.5">
      <c r="A355" s="294"/>
      <c r="B355" s="478"/>
      <c r="C355" s="202"/>
      <c r="D355" s="202"/>
      <c r="E355" s="259"/>
      <c r="F355" s="259"/>
      <c r="G355" s="77"/>
      <c r="H355" s="77"/>
      <c r="I355" s="360"/>
      <c r="J355" s="360"/>
      <c r="K355" s="360"/>
      <c r="L355" s="360"/>
      <c r="M355" s="360"/>
      <c r="N355" s="287"/>
      <c r="O355" s="53"/>
      <c r="P355" s="287"/>
      <c r="Q355" s="53"/>
      <c r="R355" s="287"/>
      <c r="S355" s="146"/>
      <c r="T355" s="275"/>
      <c r="U355" s="198"/>
      <c r="AD355" s="230"/>
    </row>
    <row r="356" spans="1:30" s="229" customFormat="1" ht="33" customHeight="1" x14ac:dyDescent="0.5">
      <c r="A356" s="294"/>
      <c r="B356" s="478"/>
      <c r="C356" s="202"/>
      <c r="D356" s="202"/>
      <c r="E356" s="259"/>
      <c r="F356" s="259"/>
      <c r="G356" s="77"/>
      <c r="H356" s="77"/>
      <c r="I356" s="360"/>
      <c r="J356" s="360"/>
      <c r="K356" s="360"/>
      <c r="L356" s="360"/>
      <c r="M356" s="360"/>
      <c r="N356" s="287"/>
      <c r="O356" s="53"/>
      <c r="P356" s="287"/>
      <c r="Q356" s="53"/>
      <c r="R356" s="287"/>
      <c r="S356" s="146" t="s">
        <v>318</v>
      </c>
      <c r="T356" s="147"/>
      <c r="U356" s="198"/>
      <c r="AD356" s="230"/>
    </row>
    <row r="357" spans="1:30" s="229" customFormat="1" ht="33" customHeight="1" x14ac:dyDescent="0.5">
      <c r="A357" s="294"/>
      <c r="B357" s="478"/>
      <c r="C357" s="202"/>
      <c r="D357" s="202"/>
      <c r="E357" s="259"/>
      <c r="F357" s="259"/>
      <c r="G357" s="77"/>
      <c r="H357" s="77"/>
      <c r="I357" s="360"/>
      <c r="J357" s="360"/>
      <c r="K357" s="360"/>
      <c r="L357" s="360"/>
      <c r="M357" s="360"/>
      <c r="N357" s="287"/>
      <c r="O357" s="53"/>
      <c r="P357" s="287"/>
      <c r="Q357" s="53"/>
      <c r="R357" s="287"/>
      <c r="S357" s="146"/>
      <c r="T357" s="147"/>
      <c r="U357" s="198"/>
      <c r="AD357" s="230"/>
    </row>
    <row r="358" spans="1:30" s="229" customFormat="1" ht="33" customHeight="1" x14ac:dyDescent="0.5">
      <c r="A358" s="294"/>
      <c r="B358" s="478"/>
      <c r="C358" s="202"/>
      <c r="D358" s="202"/>
      <c r="E358" s="259"/>
      <c r="F358" s="259"/>
      <c r="G358" s="77"/>
      <c r="H358" s="77"/>
      <c r="I358" s="360"/>
      <c r="J358" s="360"/>
      <c r="K358" s="360"/>
      <c r="L358" s="360"/>
      <c r="M358" s="360"/>
      <c r="N358" s="287"/>
      <c r="O358" s="53"/>
      <c r="P358" s="287"/>
      <c r="Q358" s="53"/>
      <c r="R358" s="287"/>
      <c r="S358" s="146" t="s">
        <v>126</v>
      </c>
      <c r="T358" s="147"/>
      <c r="U358" s="198"/>
      <c r="AD358" s="230"/>
    </row>
    <row r="359" spans="1:30" s="229" customFormat="1" ht="33" customHeight="1" x14ac:dyDescent="0.5">
      <c r="A359" s="294"/>
      <c r="B359" s="478"/>
      <c r="C359" s="202"/>
      <c r="D359" s="202"/>
      <c r="E359" s="259"/>
      <c r="F359" s="259"/>
      <c r="G359" s="77"/>
      <c r="H359" s="77"/>
      <c r="I359" s="360"/>
      <c r="J359" s="360"/>
      <c r="K359" s="360"/>
      <c r="L359" s="360"/>
      <c r="M359" s="360"/>
      <c r="N359" s="287"/>
      <c r="O359" s="53"/>
      <c r="P359" s="287"/>
      <c r="Q359" s="53"/>
      <c r="R359" s="287"/>
      <c r="S359" s="146" t="s">
        <v>225</v>
      </c>
      <c r="T359" s="536" t="s">
        <v>336</v>
      </c>
      <c r="U359" s="198"/>
      <c r="AD359" s="230"/>
    </row>
    <row r="360" spans="1:30" s="229" customFormat="1" ht="33" customHeight="1" x14ac:dyDescent="0.5">
      <c r="A360" s="294"/>
      <c r="B360" s="478"/>
      <c r="C360" s="202"/>
      <c r="D360" s="202"/>
      <c r="E360" s="259"/>
      <c r="F360" s="259"/>
      <c r="G360" s="77"/>
      <c r="H360" s="77"/>
      <c r="I360" s="360"/>
      <c r="J360" s="360"/>
      <c r="K360" s="360"/>
      <c r="L360" s="360"/>
      <c r="M360" s="360"/>
      <c r="N360" s="287"/>
      <c r="O360" s="53"/>
      <c r="P360" s="287"/>
      <c r="Q360" s="53"/>
      <c r="R360" s="287"/>
      <c r="S360" s="146" t="s">
        <v>224</v>
      </c>
      <c r="T360" s="536" t="s">
        <v>324</v>
      </c>
      <c r="U360" s="198"/>
      <c r="AD360" s="230"/>
    </row>
    <row r="361" spans="1:30" s="229" customFormat="1" ht="33" customHeight="1" x14ac:dyDescent="0.5">
      <c r="A361" s="294"/>
      <c r="B361" s="478"/>
      <c r="C361" s="202"/>
      <c r="D361" s="202"/>
      <c r="E361" s="259"/>
      <c r="F361" s="259"/>
      <c r="G361" s="77"/>
      <c r="H361" s="77"/>
      <c r="I361" s="360"/>
      <c r="J361" s="360"/>
      <c r="K361" s="360"/>
      <c r="L361" s="360"/>
      <c r="M361" s="360"/>
      <c r="N361" s="287"/>
      <c r="O361" s="53"/>
      <c r="P361" s="287"/>
      <c r="Q361" s="53"/>
      <c r="R361" s="287"/>
      <c r="S361" s="146"/>
      <c r="T361" s="275"/>
      <c r="U361" s="198"/>
      <c r="AD361" s="230"/>
    </row>
    <row r="362" spans="1:30" s="229" customFormat="1" ht="33" customHeight="1" x14ac:dyDescent="0.5">
      <c r="A362" s="258"/>
      <c r="B362" s="478"/>
      <c r="C362" s="202"/>
      <c r="D362" s="202"/>
      <c r="E362" s="276"/>
      <c r="F362" s="276"/>
      <c r="G362" s="59"/>
      <c r="H362" s="59"/>
      <c r="I362" s="369"/>
      <c r="J362" s="369"/>
      <c r="K362" s="369"/>
      <c r="L362" s="369"/>
      <c r="M362" s="369"/>
      <c r="N362" s="369"/>
      <c r="O362" s="14"/>
      <c r="P362" s="286"/>
      <c r="Q362" s="14"/>
      <c r="R362" s="286"/>
      <c r="S362" s="216" t="s">
        <v>0</v>
      </c>
      <c r="T362" s="217">
        <f xml:space="preserve"> SUM(H312:H363)-SUM($G312:$G363)</f>
        <v>0.20833333333333304</v>
      </c>
      <c r="U362" s="291"/>
      <c r="AD362" s="230"/>
    </row>
    <row r="363" spans="1:30" s="229" customFormat="1" ht="33" customHeight="1" thickBot="1" x14ac:dyDescent="0.55000000000000004">
      <c r="A363" s="263"/>
      <c r="B363" s="479"/>
      <c r="C363" s="220"/>
      <c r="D363" s="220"/>
      <c r="E363" s="221"/>
      <c r="F363" s="221"/>
      <c r="G363" s="63"/>
      <c r="H363" s="63"/>
      <c r="I363" s="362"/>
      <c r="J363" s="362"/>
      <c r="K363" s="362"/>
      <c r="L363" s="362"/>
      <c r="M363" s="362"/>
      <c r="N363" s="362"/>
      <c r="O363" s="64"/>
      <c r="P363" s="289"/>
      <c r="Q363" s="64"/>
      <c r="R363" s="289"/>
      <c r="S363" s="222" t="s">
        <v>4</v>
      </c>
      <c r="T363" s="223">
        <f xml:space="preserve"> SUM(M314:M363)-SUM($J314:$J363)</f>
        <v>0.21249999999999991</v>
      </c>
      <c r="U363" s="291"/>
      <c r="AD363" s="230"/>
    </row>
    <row r="364" spans="1:30" s="229" customFormat="1" ht="33" customHeight="1" x14ac:dyDescent="0.5">
      <c r="A364" s="292" t="s">
        <v>163</v>
      </c>
      <c r="B364" s="477" t="s">
        <v>2</v>
      </c>
      <c r="C364" s="194"/>
      <c r="D364" s="194"/>
      <c r="E364" s="195"/>
      <c r="F364" s="195"/>
      <c r="G364" s="350"/>
      <c r="H364" s="350"/>
      <c r="I364" s="359"/>
      <c r="J364" s="359"/>
      <c r="K364" s="359"/>
      <c r="L364" s="359"/>
      <c r="M364" s="359"/>
      <c r="N364" s="381"/>
      <c r="O364" s="131"/>
      <c r="P364" s="381"/>
      <c r="Q364" s="131"/>
      <c r="R364" s="381"/>
      <c r="S364" s="196" t="s">
        <v>47</v>
      </c>
      <c r="T364" s="307"/>
      <c r="U364" s="198"/>
      <c r="AD364" s="230"/>
    </row>
    <row r="365" spans="1:30" s="229" customFormat="1" ht="33" customHeight="1" x14ac:dyDescent="0.5">
      <c r="A365" s="258" t="s">
        <v>11</v>
      </c>
      <c r="B365" s="478"/>
      <c r="C365" s="262" t="s">
        <v>245</v>
      </c>
      <c r="D365" s="262" t="s">
        <v>43</v>
      </c>
      <c r="E365" s="393" t="s">
        <v>101</v>
      </c>
      <c r="F365" s="393" t="s">
        <v>36</v>
      </c>
      <c r="G365" s="351">
        <v>0.32291666666666669</v>
      </c>
      <c r="H365" s="352">
        <f>G365+5*"0:1:0"</f>
        <v>0.3263888888888889</v>
      </c>
      <c r="I365" s="365">
        <v>0.30069444444444443</v>
      </c>
      <c r="J365" s="365">
        <v>0.30972222222222223</v>
      </c>
      <c r="K365" s="365">
        <v>0.30972222222222223</v>
      </c>
      <c r="L365" s="365">
        <v>0.31319444444444444</v>
      </c>
      <c r="M365" s="365">
        <v>0.31319444444444444</v>
      </c>
      <c r="N365" s="365">
        <f>SUM(M365-J365)</f>
        <v>3.4722222222222099E-3</v>
      </c>
      <c r="O365" s="132" t="s">
        <v>48</v>
      </c>
      <c r="P365" s="104" t="s">
        <v>48</v>
      </c>
      <c r="Q365" s="132" t="s">
        <v>48</v>
      </c>
      <c r="R365" s="104" t="s">
        <v>48</v>
      </c>
      <c r="S365" s="204" t="s">
        <v>242</v>
      </c>
      <c r="T365" s="206"/>
      <c r="U365" s="198"/>
      <c r="AD365" s="230"/>
    </row>
    <row r="366" spans="1:30" s="229" customFormat="1" ht="33" customHeight="1" x14ac:dyDescent="0.5">
      <c r="A366" s="294" t="s">
        <v>164</v>
      </c>
      <c r="B366" s="478"/>
      <c r="C366" s="262"/>
      <c r="D366" s="262"/>
      <c r="E366" s="203"/>
      <c r="F366" s="203"/>
      <c r="G366" s="351"/>
      <c r="H366" s="351"/>
      <c r="I366" s="360"/>
      <c r="J366" s="360"/>
      <c r="K366" s="360"/>
      <c r="L366" s="360"/>
      <c r="M366" s="360"/>
      <c r="N366" s="287"/>
      <c r="O366" s="132"/>
      <c r="P366" s="287"/>
      <c r="Q366" s="132"/>
      <c r="R366" s="287"/>
      <c r="S366" s="204"/>
      <c r="T366" s="206"/>
      <c r="U366" s="198"/>
      <c r="AD366" s="230"/>
    </row>
    <row r="367" spans="1:30" s="229" customFormat="1" ht="33" customHeight="1" x14ac:dyDescent="0.5">
      <c r="A367" s="294"/>
      <c r="B367" s="478"/>
      <c r="C367" s="262"/>
      <c r="D367" s="262"/>
      <c r="E367" s="518" t="s">
        <v>36</v>
      </c>
      <c r="F367" s="518" t="s">
        <v>50</v>
      </c>
      <c r="G367" s="519">
        <f>H365+30*"0:1:0"</f>
        <v>0.34722222222222221</v>
      </c>
      <c r="H367" s="519">
        <f>G367+80*"0:1:0"</f>
        <v>0.40277777777777779</v>
      </c>
      <c r="I367" s="520"/>
      <c r="J367" s="520"/>
      <c r="K367" s="520"/>
      <c r="L367" s="520"/>
      <c r="M367" s="520"/>
      <c r="N367" s="404"/>
      <c r="O367" s="521" t="s">
        <v>255</v>
      </c>
      <c r="P367" s="403"/>
      <c r="Q367" s="521" t="s">
        <v>48</v>
      </c>
      <c r="R367" s="403"/>
      <c r="S367" s="522" t="s">
        <v>261</v>
      </c>
      <c r="T367" s="206"/>
      <c r="U367" s="198"/>
      <c r="AD367" s="230"/>
    </row>
    <row r="368" spans="1:30" s="229" customFormat="1" ht="33" customHeight="1" x14ac:dyDescent="0.5">
      <c r="A368" s="294"/>
      <c r="B368" s="478"/>
      <c r="C368" s="262"/>
      <c r="D368" s="262"/>
      <c r="E368" s="518" t="s">
        <v>50</v>
      </c>
      <c r="F368" s="518" t="s">
        <v>36</v>
      </c>
      <c r="G368" s="519">
        <f>H367+40*"0:1:0"</f>
        <v>0.43055555555555558</v>
      </c>
      <c r="H368" s="519">
        <f>G368+80*"0:1:0"</f>
        <v>0.48611111111111116</v>
      </c>
      <c r="I368" s="520"/>
      <c r="J368" s="520"/>
      <c r="K368" s="520"/>
      <c r="L368" s="520"/>
      <c r="M368" s="520"/>
      <c r="N368" s="404"/>
      <c r="O368" s="521" t="s">
        <v>256</v>
      </c>
      <c r="P368" s="403"/>
      <c r="Q368" s="521" t="s">
        <v>48</v>
      </c>
      <c r="R368" s="403"/>
      <c r="S368" s="522" t="s">
        <v>261</v>
      </c>
      <c r="T368" s="206"/>
      <c r="U368" s="198"/>
      <c r="AD368" s="230"/>
    </row>
    <row r="369" spans="1:30" s="229" customFormat="1" ht="33" customHeight="1" x14ac:dyDescent="0.5">
      <c r="A369" s="294"/>
      <c r="B369" s="478"/>
      <c r="C369" s="262"/>
      <c r="D369" s="262"/>
      <c r="E369" s="203"/>
      <c r="F369" s="203"/>
      <c r="G369" s="351"/>
      <c r="H369" s="351"/>
      <c r="I369" s="360"/>
      <c r="J369" s="360"/>
      <c r="K369" s="360"/>
      <c r="L369" s="360"/>
      <c r="M369" s="360"/>
      <c r="N369" s="287"/>
      <c r="O369" s="132"/>
      <c r="P369" s="287"/>
      <c r="Q369" s="132"/>
      <c r="R369" s="287"/>
      <c r="S369" s="204"/>
      <c r="T369" s="206"/>
      <c r="U369" s="198"/>
      <c r="AD369" s="230"/>
    </row>
    <row r="370" spans="1:30" s="229" customFormat="1" ht="33" customHeight="1" x14ac:dyDescent="0.5">
      <c r="A370" s="294"/>
      <c r="B370" s="478"/>
      <c r="C370" s="262" t="s">
        <v>243</v>
      </c>
      <c r="D370" s="262" t="s">
        <v>43</v>
      </c>
      <c r="E370" s="76" t="s">
        <v>36</v>
      </c>
      <c r="F370" s="76" t="s">
        <v>57</v>
      </c>
      <c r="G370" s="352">
        <v>0.45833333333333331</v>
      </c>
      <c r="H370" s="356">
        <f>G370+30*"0:1:0"</f>
        <v>0.47916666666666663</v>
      </c>
      <c r="I370" s="395">
        <v>0.47013888888888888</v>
      </c>
      <c r="J370" s="395">
        <v>0.47569444444444442</v>
      </c>
      <c r="K370" s="395">
        <v>0.47708333333333336</v>
      </c>
      <c r="L370" s="395">
        <v>0.48958333333333331</v>
      </c>
      <c r="M370" s="395">
        <v>0.49027777777777776</v>
      </c>
      <c r="N370" s="365">
        <f>SUM(M370-J370)</f>
        <v>1.4583333333333337E-2</v>
      </c>
      <c r="O370" s="53" t="s">
        <v>257</v>
      </c>
      <c r="P370" s="104">
        <v>9</v>
      </c>
      <c r="Q370" s="53" t="s">
        <v>48</v>
      </c>
      <c r="R370" s="104" t="s">
        <v>48</v>
      </c>
      <c r="S370" s="242" t="s">
        <v>260</v>
      </c>
      <c r="T370" s="206"/>
      <c r="U370" s="198"/>
      <c r="AD370" s="230"/>
    </row>
    <row r="371" spans="1:30" s="229" customFormat="1" ht="33" customHeight="1" x14ac:dyDescent="0.5">
      <c r="A371" s="294"/>
      <c r="B371" s="478"/>
      <c r="C371" s="262"/>
      <c r="D371" s="262"/>
      <c r="E371" s="259"/>
      <c r="F371" s="259"/>
      <c r="G371" s="352"/>
      <c r="H371" s="352"/>
      <c r="I371" s="373"/>
      <c r="J371" s="373"/>
      <c r="K371" s="373"/>
      <c r="L371" s="373"/>
      <c r="M371" s="373"/>
      <c r="N371" s="373"/>
      <c r="O371" s="53"/>
      <c r="P371" s="287"/>
      <c r="Q371" s="53"/>
      <c r="R371" s="287"/>
      <c r="S371" s="242"/>
      <c r="T371" s="206"/>
      <c r="U371" s="198"/>
      <c r="AD371" s="230"/>
    </row>
    <row r="372" spans="1:30" s="229" customFormat="1" ht="33" customHeight="1" x14ac:dyDescent="0.5">
      <c r="A372" s="294"/>
      <c r="B372" s="478"/>
      <c r="C372" s="308" t="s">
        <v>234</v>
      </c>
      <c r="D372" s="308" t="s">
        <v>43</v>
      </c>
      <c r="E372" s="396" t="s">
        <v>57</v>
      </c>
      <c r="F372" s="396" t="s">
        <v>244</v>
      </c>
      <c r="G372" s="354">
        <v>0.5</v>
      </c>
      <c r="H372" s="355">
        <v>0.52083333333333337</v>
      </c>
      <c r="I372" s="395">
        <v>0.50763888888888886</v>
      </c>
      <c r="J372" s="395">
        <v>0.5131944444444444</v>
      </c>
      <c r="K372" s="395">
        <v>0.5131944444444444</v>
      </c>
      <c r="L372" s="395">
        <v>0.52916666666666667</v>
      </c>
      <c r="M372" s="395">
        <v>0.52986111111111112</v>
      </c>
      <c r="N372" s="365">
        <f t="shared" ref="N372:N373" si="9">SUM(M372-J372)</f>
        <v>1.6666666666666718E-2</v>
      </c>
      <c r="O372" s="133" t="s">
        <v>258</v>
      </c>
      <c r="P372" s="104">
        <v>17</v>
      </c>
      <c r="Q372" s="133" t="s">
        <v>48</v>
      </c>
      <c r="R372" s="104" t="s">
        <v>48</v>
      </c>
      <c r="S372" s="309" t="s">
        <v>250</v>
      </c>
      <c r="T372" s="310"/>
      <c r="U372" s="198"/>
      <c r="AD372" s="230"/>
    </row>
    <row r="373" spans="1:30" s="229" customFormat="1" ht="33" customHeight="1" x14ac:dyDescent="0.5">
      <c r="A373" s="294"/>
      <c r="B373" s="478"/>
      <c r="C373" s="308"/>
      <c r="D373" s="308"/>
      <c r="E373" s="396" t="s">
        <v>244</v>
      </c>
      <c r="F373" s="396" t="s">
        <v>57</v>
      </c>
      <c r="G373" s="355">
        <v>0.60416666666666663</v>
      </c>
      <c r="H373" s="354">
        <v>0.625</v>
      </c>
      <c r="I373" s="395">
        <v>0.61250000000000004</v>
      </c>
      <c r="J373" s="395">
        <v>0.61736111111111114</v>
      </c>
      <c r="K373" s="395">
        <v>0.61736111111111114</v>
      </c>
      <c r="L373" s="395">
        <v>0.63263888888888886</v>
      </c>
      <c r="M373" s="395">
        <v>0.6333333333333333</v>
      </c>
      <c r="N373" s="365">
        <f t="shared" si="9"/>
        <v>1.5972222222222165E-2</v>
      </c>
      <c r="O373" s="133" t="s">
        <v>258</v>
      </c>
      <c r="P373" s="104">
        <v>17</v>
      </c>
      <c r="Q373" s="133" t="s">
        <v>48</v>
      </c>
      <c r="R373" s="104" t="s">
        <v>48</v>
      </c>
      <c r="S373" s="309" t="s">
        <v>251</v>
      </c>
      <c r="T373" s="310"/>
      <c r="U373" s="198"/>
      <c r="AD373" s="230"/>
    </row>
    <row r="374" spans="1:30" s="229" customFormat="1" ht="33" customHeight="1" x14ac:dyDescent="0.5">
      <c r="A374" s="294"/>
      <c r="B374" s="478"/>
      <c r="C374" s="262"/>
      <c r="D374" s="262"/>
      <c r="E374" s="259"/>
      <c r="F374" s="259"/>
      <c r="G374" s="352"/>
      <c r="H374" s="352"/>
      <c r="I374" s="373"/>
      <c r="J374" s="373"/>
      <c r="K374" s="373"/>
      <c r="L374" s="373"/>
      <c r="M374" s="373"/>
      <c r="N374" s="373"/>
      <c r="O374" s="53"/>
      <c r="P374" s="287"/>
      <c r="Q374" s="53"/>
      <c r="R374" s="287"/>
      <c r="S374" s="242"/>
      <c r="T374" s="206"/>
      <c r="U374" s="198"/>
      <c r="AD374" s="230"/>
    </row>
    <row r="375" spans="1:30" s="229" customFormat="1" ht="33" customHeight="1" x14ac:dyDescent="0.5">
      <c r="A375" s="294"/>
      <c r="B375" s="478"/>
      <c r="C375" s="262" t="s">
        <v>243</v>
      </c>
      <c r="D375" s="262" t="s">
        <v>43</v>
      </c>
      <c r="E375" s="76" t="s">
        <v>57</v>
      </c>
      <c r="F375" s="76" t="s">
        <v>36</v>
      </c>
      <c r="G375" s="356">
        <v>0.64583333333333337</v>
      </c>
      <c r="H375" s="352">
        <f>G375+30*"0:1:0"</f>
        <v>0.66666666666666674</v>
      </c>
      <c r="I375" s="395">
        <v>0.64444444444444449</v>
      </c>
      <c r="J375" s="395">
        <v>0.64930555555555558</v>
      </c>
      <c r="K375" s="395">
        <v>0.64930555555555558</v>
      </c>
      <c r="L375" s="395">
        <v>0.66249999999999998</v>
      </c>
      <c r="M375" s="395">
        <v>0.66319444444444442</v>
      </c>
      <c r="N375" s="365">
        <f>SUM(M375-J375)</f>
        <v>1.388888888888884E-2</v>
      </c>
      <c r="O375" s="53" t="s">
        <v>259</v>
      </c>
      <c r="P375" s="104">
        <v>11</v>
      </c>
      <c r="Q375" s="53" t="s">
        <v>48</v>
      </c>
      <c r="R375" s="104" t="s">
        <v>48</v>
      </c>
      <c r="S375" s="242" t="s">
        <v>262</v>
      </c>
      <c r="T375" s="206"/>
      <c r="U375" s="198"/>
      <c r="AD375" s="230"/>
    </row>
    <row r="376" spans="1:30" s="229" customFormat="1" ht="33" customHeight="1" x14ac:dyDescent="0.5">
      <c r="A376" s="294"/>
      <c r="B376" s="478"/>
      <c r="D376" s="262"/>
      <c r="E376" s="259"/>
      <c r="F376" s="259"/>
      <c r="G376" s="351"/>
      <c r="H376" s="351"/>
      <c r="I376" s="373"/>
      <c r="J376" s="373"/>
      <c r="K376" s="373"/>
      <c r="L376" s="373"/>
      <c r="M376" s="373"/>
      <c r="N376" s="373"/>
      <c r="O376" s="53"/>
      <c r="P376" s="287"/>
      <c r="Q376" s="53"/>
      <c r="R376" s="287"/>
      <c r="S376" s="242"/>
      <c r="T376" s="206"/>
      <c r="U376" s="198"/>
      <c r="AD376" s="230"/>
    </row>
    <row r="377" spans="1:30" s="229" customFormat="1" ht="33" customHeight="1" x14ac:dyDescent="0.5">
      <c r="A377" s="294"/>
      <c r="B377" s="478"/>
      <c r="C377" s="262"/>
      <c r="D377" s="262"/>
      <c r="E377" s="76" t="s">
        <v>36</v>
      </c>
      <c r="F377" s="76" t="s">
        <v>101</v>
      </c>
      <c r="G377" s="352">
        <f>H375+30*"0:1:0"</f>
        <v>0.68750000000000011</v>
      </c>
      <c r="H377" s="352">
        <f>G377+5*"0:1:0"</f>
        <v>0.69097222222222232</v>
      </c>
      <c r="I377" s="395">
        <v>0.6791666666666667</v>
      </c>
      <c r="J377" s="395">
        <v>0.68472222222222223</v>
      </c>
      <c r="K377" s="395">
        <v>0.68541666666666667</v>
      </c>
      <c r="L377" s="395">
        <v>0.68888888888888888</v>
      </c>
      <c r="M377" s="395">
        <v>0.69166666666666665</v>
      </c>
      <c r="N377" s="365">
        <f>SUM(M377-J377)</f>
        <v>6.9444444444444198E-3</v>
      </c>
      <c r="O377" s="53" t="s">
        <v>48</v>
      </c>
      <c r="P377" s="104" t="s">
        <v>48</v>
      </c>
      <c r="Q377" s="53" t="s">
        <v>48</v>
      </c>
      <c r="R377" s="104" t="s">
        <v>48</v>
      </c>
      <c r="S377" s="242" t="s">
        <v>192</v>
      </c>
      <c r="T377" s="206"/>
      <c r="U377" s="198"/>
      <c r="AD377" s="230"/>
    </row>
    <row r="378" spans="1:30" s="229" customFormat="1" ht="33" customHeight="1" x14ac:dyDescent="0.5">
      <c r="A378" s="294"/>
      <c r="B378" s="478"/>
      <c r="C378" s="262"/>
      <c r="D378" s="262"/>
      <c r="E378" s="203"/>
      <c r="F378" s="203"/>
      <c r="G378" s="351"/>
      <c r="H378" s="351"/>
      <c r="I378" s="360"/>
      <c r="J378" s="360"/>
      <c r="K378" s="360"/>
      <c r="L378" s="360"/>
      <c r="M378" s="360"/>
      <c r="N378" s="287"/>
      <c r="O378" s="132"/>
      <c r="P378" s="287"/>
      <c r="Q378" s="132"/>
      <c r="R378" s="287"/>
      <c r="S378" s="184"/>
      <c r="T378" s="206"/>
      <c r="U378" s="198"/>
      <c r="AD378" s="230"/>
    </row>
    <row r="379" spans="1:30" s="229" customFormat="1" ht="33" customHeight="1" x14ac:dyDescent="0.5">
      <c r="A379" s="294"/>
      <c r="B379" s="478"/>
      <c r="C379" s="262"/>
      <c r="D379" s="262"/>
      <c r="E379" s="203"/>
      <c r="F379" s="203"/>
      <c r="G379" s="351"/>
      <c r="H379" s="351"/>
      <c r="I379" s="360"/>
      <c r="J379" s="360"/>
      <c r="K379" s="360"/>
      <c r="L379" s="360"/>
      <c r="M379" s="360"/>
      <c r="N379" s="287"/>
      <c r="O379" s="132"/>
      <c r="P379" s="287"/>
      <c r="Q379" s="132"/>
      <c r="R379" s="287"/>
      <c r="S379" s="311" t="s">
        <v>248</v>
      </c>
      <c r="T379" s="206"/>
      <c r="U379" s="198"/>
      <c r="AD379" s="230"/>
    </row>
    <row r="380" spans="1:30" s="229" customFormat="1" ht="33" customHeight="1" x14ac:dyDescent="0.5">
      <c r="A380" s="294"/>
      <c r="B380" s="478"/>
      <c r="C380" s="262"/>
      <c r="D380" s="262"/>
      <c r="E380" s="203"/>
      <c r="F380" s="203"/>
      <c r="G380" s="351"/>
      <c r="H380" s="351"/>
      <c r="I380" s="360"/>
      <c r="J380" s="360"/>
      <c r="K380" s="360"/>
      <c r="L380" s="360"/>
      <c r="M380" s="360"/>
      <c r="N380" s="287"/>
      <c r="O380" s="132"/>
      <c r="P380" s="287"/>
      <c r="Q380" s="132"/>
      <c r="R380" s="287"/>
      <c r="S380" s="184"/>
      <c r="T380" s="206"/>
      <c r="U380" s="198"/>
      <c r="AD380" s="230"/>
    </row>
    <row r="381" spans="1:30" s="229" customFormat="1" ht="33" customHeight="1" x14ac:dyDescent="0.5">
      <c r="A381" s="294"/>
      <c r="B381" s="478"/>
      <c r="C381" s="262"/>
      <c r="D381" s="262"/>
      <c r="E381" s="203"/>
      <c r="F381" s="203"/>
      <c r="G381" s="351"/>
      <c r="H381" s="351"/>
      <c r="I381" s="360"/>
      <c r="J381" s="360"/>
      <c r="K381" s="360"/>
      <c r="L381" s="360"/>
      <c r="M381" s="360"/>
      <c r="N381" s="287"/>
      <c r="O381" s="132"/>
      <c r="P381" s="287"/>
      <c r="Q381" s="132"/>
      <c r="R381" s="287"/>
      <c r="S381" s="208" t="s">
        <v>54</v>
      </c>
      <c r="T381" s="206"/>
      <c r="U381" s="198"/>
      <c r="AD381" s="230"/>
    </row>
    <row r="382" spans="1:30" s="229" customFormat="1" ht="33" customHeight="1" x14ac:dyDescent="0.5">
      <c r="A382" s="294"/>
      <c r="B382" s="478"/>
      <c r="C382" s="262"/>
      <c r="D382" s="262"/>
      <c r="E382" s="203"/>
      <c r="F382" s="203"/>
      <c r="G382" s="351"/>
      <c r="H382" s="351"/>
      <c r="I382" s="360"/>
      <c r="J382" s="360"/>
      <c r="K382" s="360"/>
      <c r="L382" s="360"/>
      <c r="M382" s="360"/>
      <c r="N382" s="287"/>
      <c r="O382" s="132"/>
      <c r="P382" s="287"/>
      <c r="Q382" s="132"/>
      <c r="R382" s="287"/>
      <c r="S382" s="9" t="s">
        <v>58</v>
      </c>
      <c r="T382" s="206"/>
      <c r="U382" s="198"/>
      <c r="AD382" s="230"/>
    </row>
    <row r="383" spans="1:30" s="229" customFormat="1" ht="33" customHeight="1" x14ac:dyDescent="0.5">
      <c r="A383" s="294"/>
      <c r="B383" s="478"/>
      <c r="C383" s="262"/>
      <c r="D383" s="262"/>
      <c r="E383" s="203"/>
      <c r="F383" s="203"/>
      <c r="G383" s="351"/>
      <c r="H383" s="351"/>
      <c r="I383" s="360"/>
      <c r="J383" s="360"/>
      <c r="K383" s="360"/>
      <c r="L383" s="360"/>
      <c r="M383" s="360"/>
      <c r="N383" s="287"/>
      <c r="O383" s="132"/>
      <c r="P383" s="287"/>
      <c r="Q383" s="132"/>
      <c r="R383" s="287"/>
      <c r="S383" s="9" t="s">
        <v>59</v>
      </c>
      <c r="T383" s="206"/>
      <c r="U383" s="198"/>
      <c r="AD383" s="230"/>
    </row>
    <row r="384" spans="1:30" s="229" customFormat="1" ht="33" customHeight="1" x14ac:dyDescent="0.5">
      <c r="A384" s="294"/>
      <c r="B384" s="478"/>
      <c r="C384" s="262"/>
      <c r="D384" s="262"/>
      <c r="E384" s="203"/>
      <c r="F384" s="203"/>
      <c r="G384" s="351"/>
      <c r="H384" s="351"/>
      <c r="I384" s="360"/>
      <c r="J384" s="360"/>
      <c r="K384" s="360"/>
      <c r="L384" s="360"/>
      <c r="M384" s="360"/>
      <c r="N384" s="287"/>
      <c r="O384" s="132"/>
      <c r="P384" s="287"/>
      <c r="Q384" s="132"/>
      <c r="R384" s="287"/>
      <c r="S384" s="208" t="s">
        <v>55</v>
      </c>
      <c r="T384" s="206"/>
      <c r="U384" s="198"/>
      <c r="AD384" s="230"/>
    </row>
    <row r="385" spans="1:30" s="229" customFormat="1" ht="33" customHeight="1" x14ac:dyDescent="0.5">
      <c r="A385" s="294"/>
      <c r="B385" s="478"/>
      <c r="C385" s="262"/>
      <c r="D385" s="262"/>
      <c r="E385" s="203"/>
      <c r="F385" s="203"/>
      <c r="G385" s="351"/>
      <c r="H385" s="351"/>
      <c r="I385" s="360"/>
      <c r="J385" s="360"/>
      <c r="K385" s="360"/>
      <c r="L385" s="360"/>
      <c r="M385" s="360"/>
      <c r="N385" s="287"/>
      <c r="O385" s="132"/>
      <c r="P385" s="287"/>
      <c r="Q385" s="132"/>
      <c r="R385" s="287"/>
      <c r="S385" s="184"/>
      <c r="T385" s="206"/>
      <c r="U385" s="198"/>
      <c r="AD385" s="230"/>
    </row>
    <row r="386" spans="1:30" s="229" customFormat="1" ht="33" customHeight="1" x14ac:dyDescent="0.5">
      <c r="A386" s="294"/>
      <c r="B386" s="478"/>
      <c r="C386" s="262"/>
      <c r="D386" s="262"/>
      <c r="E386" s="203"/>
      <c r="F386" s="203"/>
      <c r="G386" s="351"/>
      <c r="H386" s="351"/>
      <c r="I386" s="360"/>
      <c r="J386" s="360"/>
      <c r="K386" s="360"/>
      <c r="L386" s="360"/>
      <c r="M386" s="360"/>
      <c r="N386" s="287"/>
      <c r="O386" s="132"/>
      <c r="P386" s="287"/>
      <c r="Q386" s="132"/>
      <c r="R386" s="287"/>
      <c r="S386" s="312" t="s">
        <v>104</v>
      </c>
      <c r="T386" s="313"/>
      <c r="U386" s="198"/>
      <c r="AD386" s="230"/>
    </row>
    <row r="387" spans="1:30" s="229" customFormat="1" ht="33" customHeight="1" x14ac:dyDescent="0.5">
      <c r="A387" s="294"/>
      <c r="B387" s="478"/>
      <c r="C387" s="262"/>
      <c r="D387" s="262"/>
      <c r="E387" s="203"/>
      <c r="F387" s="203"/>
      <c r="G387" s="351"/>
      <c r="H387" s="351"/>
      <c r="I387" s="360"/>
      <c r="J387" s="360"/>
      <c r="K387" s="360"/>
      <c r="L387" s="360"/>
      <c r="M387" s="360"/>
      <c r="N387" s="287"/>
      <c r="O387" s="132"/>
      <c r="P387" s="287"/>
      <c r="Q387" s="132"/>
      <c r="R387" s="287"/>
      <c r="S387" s="312" t="s">
        <v>105</v>
      </c>
      <c r="T387" s="148"/>
      <c r="U387" s="198"/>
      <c r="AD387" s="230"/>
    </row>
    <row r="388" spans="1:30" s="229" customFormat="1" ht="33" customHeight="1" x14ac:dyDescent="0.5">
      <c r="A388" s="294"/>
      <c r="B388" s="478"/>
      <c r="C388" s="262"/>
      <c r="D388" s="262"/>
      <c r="E388" s="203"/>
      <c r="F388" s="203"/>
      <c r="G388" s="351"/>
      <c r="H388" s="351"/>
      <c r="I388" s="360"/>
      <c r="J388" s="360"/>
      <c r="K388" s="360"/>
      <c r="L388" s="360"/>
      <c r="M388" s="360"/>
      <c r="N388" s="287"/>
      <c r="O388" s="132"/>
      <c r="P388" s="287"/>
      <c r="Q388" s="132"/>
      <c r="R388" s="287"/>
      <c r="S388" s="312" t="s">
        <v>112</v>
      </c>
      <c r="T388" s="148"/>
      <c r="U388" s="198"/>
      <c r="AD388" s="230"/>
    </row>
    <row r="389" spans="1:30" s="229" customFormat="1" ht="33" customHeight="1" x14ac:dyDescent="0.5">
      <c r="A389" s="294"/>
      <c r="B389" s="478"/>
      <c r="C389" s="262"/>
      <c r="D389" s="262"/>
      <c r="E389" s="203"/>
      <c r="F389" s="203"/>
      <c r="G389" s="351"/>
      <c r="H389" s="351"/>
      <c r="I389" s="360"/>
      <c r="J389" s="360"/>
      <c r="K389" s="360"/>
      <c r="L389" s="360"/>
      <c r="M389" s="360"/>
      <c r="N389" s="287"/>
      <c r="O389" s="132"/>
      <c r="P389" s="287"/>
      <c r="Q389" s="132"/>
      <c r="R389" s="287"/>
      <c r="S389" s="312" t="s">
        <v>113</v>
      </c>
      <c r="T389" s="148"/>
      <c r="U389" s="198"/>
      <c r="AD389" s="230"/>
    </row>
    <row r="390" spans="1:30" s="229" customFormat="1" ht="33" customHeight="1" x14ac:dyDescent="0.5">
      <c r="A390" s="294"/>
      <c r="B390" s="478"/>
      <c r="C390" s="262"/>
      <c r="D390" s="262"/>
      <c r="E390" s="203"/>
      <c r="F390" s="203"/>
      <c r="G390" s="351"/>
      <c r="H390" s="351"/>
      <c r="I390" s="360"/>
      <c r="J390" s="360"/>
      <c r="K390" s="360"/>
      <c r="L390" s="360"/>
      <c r="M390" s="360"/>
      <c r="N390" s="287"/>
      <c r="O390" s="132"/>
      <c r="P390" s="287"/>
      <c r="Q390" s="132"/>
      <c r="R390" s="287"/>
      <c r="S390" s="312" t="s">
        <v>114</v>
      </c>
      <c r="T390" s="148"/>
      <c r="U390" s="198"/>
      <c r="AD390" s="230"/>
    </row>
    <row r="391" spans="1:30" s="229" customFormat="1" ht="33" customHeight="1" x14ac:dyDescent="0.5">
      <c r="A391" s="294"/>
      <c r="B391" s="478"/>
      <c r="C391" s="262"/>
      <c r="D391" s="262"/>
      <c r="E391" s="203"/>
      <c r="F391" s="203"/>
      <c r="G391" s="351"/>
      <c r="H391" s="351"/>
      <c r="I391" s="360"/>
      <c r="J391" s="360"/>
      <c r="K391" s="360"/>
      <c r="L391" s="360"/>
      <c r="M391" s="360"/>
      <c r="N391" s="287"/>
      <c r="O391" s="132"/>
      <c r="P391" s="287"/>
      <c r="Q391" s="132"/>
      <c r="R391" s="287"/>
      <c r="S391" s="312"/>
      <c r="T391" s="148"/>
      <c r="U391" s="198"/>
      <c r="AD391" s="230"/>
    </row>
    <row r="392" spans="1:30" s="229" customFormat="1" ht="33" customHeight="1" x14ac:dyDescent="0.5">
      <c r="A392" s="294"/>
      <c r="B392" s="478"/>
      <c r="C392" s="262"/>
      <c r="D392" s="262"/>
      <c r="E392" s="203"/>
      <c r="F392" s="203"/>
      <c r="G392" s="351"/>
      <c r="H392" s="351"/>
      <c r="I392" s="360"/>
      <c r="J392" s="360"/>
      <c r="K392" s="360"/>
      <c r="L392" s="360"/>
      <c r="M392" s="360"/>
      <c r="N392" s="287"/>
      <c r="O392" s="132"/>
      <c r="P392" s="287"/>
      <c r="Q392" s="132"/>
      <c r="R392" s="287"/>
      <c r="S392" s="212" t="s">
        <v>193</v>
      </c>
      <c r="T392" s="213" t="s">
        <v>190</v>
      </c>
      <c r="U392" s="198"/>
      <c r="AD392" s="230"/>
    </row>
    <row r="393" spans="1:30" s="229" customFormat="1" ht="33" customHeight="1" x14ac:dyDescent="0.5">
      <c r="A393" s="294"/>
      <c r="B393" s="478"/>
      <c r="C393" s="262"/>
      <c r="D393" s="262"/>
      <c r="E393" s="203"/>
      <c r="F393" s="203"/>
      <c r="G393" s="351"/>
      <c r="H393" s="351"/>
      <c r="I393" s="360"/>
      <c r="J393" s="360"/>
      <c r="K393" s="360"/>
      <c r="L393" s="360"/>
      <c r="M393" s="360"/>
      <c r="N393" s="287"/>
      <c r="O393" s="132"/>
      <c r="P393" s="287"/>
      <c r="Q393" s="132"/>
      <c r="R393" s="287"/>
      <c r="S393" s="212" t="s">
        <v>205</v>
      </c>
      <c r="T393" s="213" t="s">
        <v>190</v>
      </c>
      <c r="U393" s="198"/>
      <c r="AD393" s="230"/>
    </row>
    <row r="394" spans="1:30" s="229" customFormat="1" ht="33" customHeight="1" x14ac:dyDescent="0.5">
      <c r="A394" s="294"/>
      <c r="B394" s="478"/>
      <c r="C394" s="262"/>
      <c r="D394" s="262"/>
      <c r="E394" s="203"/>
      <c r="F394" s="203"/>
      <c r="G394" s="351"/>
      <c r="H394" s="351"/>
      <c r="I394" s="360"/>
      <c r="J394" s="360"/>
      <c r="K394" s="360"/>
      <c r="L394" s="360"/>
      <c r="M394" s="360"/>
      <c r="N394" s="287"/>
      <c r="O394" s="132"/>
      <c r="P394" s="287"/>
      <c r="Q394" s="132"/>
      <c r="R394" s="287"/>
      <c r="S394" s="212" t="s">
        <v>206</v>
      </c>
      <c r="T394" s="213" t="s">
        <v>190</v>
      </c>
      <c r="U394" s="198"/>
      <c r="AD394" s="230"/>
    </row>
    <row r="395" spans="1:30" s="229" customFormat="1" ht="33" customHeight="1" x14ac:dyDescent="0.5">
      <c r="A395" s="294"/>
      <c r="B395" s="478"/>
      <c r="C395" s="262"/>
      <c r="D395" s="262"/>
      <c r="E395" s="203"/>
      <c r="F395" s="203"/>
      <c r="G395" s="351"/>
      <c r="H395" s="351"/>
      <c r="I395" s="360"/>
      <c r="J395" s="360"/>
      <c r="K395" s="360"/>
      <c r="L395" s="360"/>
      <c r="M395" s="360"/>
      <c r="N395" s="287"/>
      <c r="O395" s="132"/>
      <c r="P395" s="287"/>
      <c r="Q395" s="132"/>
      <c r="R395" s="287"/>
      <c r="S395" s="212" t="s">
        <v>246</v>
      </c>
      <c r="T395" s="213" t="s">
        <v>190</v>
      </c>
      <c r="U395" s="198"/>
      <c r="AD395" s="230"/>
    </row>
    <row r="396" spans="1:30" s="229" customFormat="1" ht="33" customHeight="1" x14ac:dyDescent="0.5">
      <c r="A396" s="294"/>
      <c r="B396" s="478"/>
      <c r="C396" s="262"/>
      <c r="D396" s="262"/>
      <c r="E396" s="203"/>
      <c r="F396" s="203"/>
      <c r="G396" s="351"/>
      <c r="H396" s="351"/>
      <c r="I396" s="360"/>
      <c r="J396" s="360"/>
      <c r="K396" s="360"/>
      <c r="L396" s="360"/>
      <c r="M396" s="360"/>
      <c r="N396" s="287"/>
      <c r="O396" s="132"/>
      <c r="P396" s="287"/>
      <c r="Q396" s="132"/>
      <c r="R396" s="287"/>
      <c r="S396" s="312"/>
      <c r="T396" s="148"/>
      <c r="U396" s="198"/>
      <c r="AD396" s="230"/>
    </row>
    <row r="397" spans="1:30" s="229" customFormat="1" ht="33" customHeight="1" x14ac:dyDescent="0.5">
      <c r="A397" s="294"/>
      <c r="B397" s="478"/>
      <c r="C397" s="262"/>
      <c r="D397" s="262"/>
      <c r="E397" s="203"/>
      <c r="F397" s="203"/>
      <c r="G397" s="351"/>
      <c r="H397" s="351"/>
      <c r="I397" s="360"/>
      <c r="J397" s="360"/>
      <c r="K397" s="360"/>
      <c r="L397" s="360"/>
      <c r="M397" s="360"/>
      <c r="N397" s="287"/>
      <c r="O397" s="132"/>
      <c r="P397" s="287"/>
      <c r="Q397" s="132"/>
      <c r="R397" s="287"/>
      <c r="S397" s="184" t="s">
        <v>126</v>
      </c>
      <c r="T397" s="314"/>
      <c r="U397" s="198"/>
      <c r="AD397" s="230"/>
    </row>
    <row r="398" spans="1:30" s="229" customFormat="1" ht="33" customHeight="1" x14ac:dyDescent="0.5">
      <c r="A398" s="294"/>
      <c r="B398" s="478"/>
      <c r="C398" s="262"/>
      <c r="D398" s="262"/>
      <c r="E398" s="203"/>
      <c r="F398" s="203"/>
      <c r="G398" s="351"/>
      <c r="H398" s="351"/>
      <c r="I398" s="360"/>
      <c r="J398" s="360"/>
      <c r="K398" s="360"/>
      <c r="L398" s="360"/>
      <c r="M398" s="360"/>
      <c r="N398" s="287"/>
      <c r="O398" s="132"/>
      <c r="P398" s="287"/>
      <c r="Q398" s="132"/>
      <c r="R398" s="287"/>
      <c r="S398" s="146" t="s">
        <v>238</v>
      </c>
      <c r="T398" s="533" t="s">
        <v>311</v>
      </c>
      <c r="U398" s="198"/>
      <c r="AD398" s="230"/>
    </row>
    <row r="399" spans="1:30" s="229" customFormat="1" ht="33" customHeight="1" x14ac:dyDescent="0.5">
      <c r="A399" s="294"/>
      <c r="B399" s="478"/>
      <c r="C399" s="262"/>
      <c r="D399" s="262"/>
      <c r="E399" s="203"/>
      <c r="F399" s="203"/>
      <c r="G399" s="351"/>
      <c r="H399" s="351"/>
      <c r="I399" s="360"/>
      <c r="J399" s="360"/>
      <c r="K399" s="360"/>
      <c r="L399" s="360"/>
      <c r="M399" s="360"/>
      <c r="N399" s="287"/>
      <c r="O399" s="132"/>
      <c r="P399" s="287"/>
      <c r="Q399" s="132"/>
      <c r="R399" s="287"/>
      <c r="S399" s="184" t="s">
        <v>240</v>
      </c>
      <c r="T399" s="533" t="s">
        <v>325</v>
      </c>
      <c r="U399" s="198"/>
      <c r="AD399" s="230"/>
    </row>
    <row r="400" spans="1:30" s="229" customFormat="1" ht="33" customHeight="1" x14ac:dyDescent="0.5">
      <c r="A400" s="294"/>
      <c r="B400" s="478"/>
      <c r="C400" s="262"/>
      <c r="D400" s="262"/>
      <c r="E400" s="203"/>
      <c r="F400" s="203"/>
      <c r="G400" s="351"/>
      <c r="H400" s="351"/>
      <c r="I400" s="360"/>
      <c r="J400" s="360"/>
      <c r="K400" s="360"/>
      <c r="L400" s="360"/>
      <c r="M400" s="360"/>
      <c r="N400" s="287"/>
      <c r="O400" s="132"/>
      <c r="P400" s="287"/>
      <c r="Q400" s="132"/>
      <c r="R400" s="287"/>
      <c r="S400" s="184" t="s">
        <v>241</v>
      </c>
      <c r="T400" s="533" t="s">
        <v>326</v>
      </c>
      <c r="U400" s="198"/>
      <c r="AD400" s="230"/>
    </row>
    <row r="401" spans="1:30" s="229" customFormat="1" ht="33" customHeight="1" x14ac:dyDescent="0.5">
      <c r="A401" s="294"/>
      <c r="B401" s="478"/>
      <c r="C401" s="262"/>
      <c r="D401" s="262"/>
      <c r="E401" s="203"/>
      <c r="F401" s="203"/>
      <c r="G401" s="351"/>
      <c r="H401" s="351"/>
      <c r="I401" s="360"/>
      <c r="J401" s="360"/>
      <c r="K401" s="360"/>
      <c r="L401" s="360"/>
      <c r="M401" s="360"/>
      <c r="N401" s="287"/>
      <c r="O401" s="132"/>
      <c r="P401" s="287"/>
      <c r="Q401" s="132"/>
      <c r="R401" s="287"/>
      <c r="S401" s="184" t="s">
        <v>247</v>
      </c>
      <c r="T401" s="533" t="s">
        <v>327</v>
      </c>
      <c r="U401" s="198"/>
      <c r="AD401" s="230"/>
    </row>
    <row r="402" spans="1:30" s="229" customFormat="1" ht="33" customHeight="1" x14ac:dyDescent="0.5">
      <c r="A402" s="294"/>
      <c r="B402" s="478"/>
      <c r="C402" s="262"/>
      <c r="D402" s="262"/>
      <c r="E402" s="203"/>
      <c r="F402" s="203"/>
      <c r="G402" s="351"/>
      <c r="H402" s="351"/>
      <c r="I402" s="360"/>
      <c r="J402" s="360"/>
      <c r="K402" s="360"/>
      <c r="L402" s="360"/>
      <c r="M402" s="360"/>
      <c r="N402" s="287"/>
      <c r="O402" s="132"/>
      <c r="P402" s="287"/>
      <c r="Q402" s="132"/>
      <c r="R402" s="287"/>
      <c r="S402" s="184"/>
      <c r="T402" s="148"/>
      <c r="U402" s="198"/>
      <c r="AD402" s="230"/>
    </row>
    <row r="403" spans="1:30" s="229" customFormat="1" ht="33" customHeight="1" x14ac:dyDescent="0.5">
      <c r="A403" s="258"/>
      <c r="B403" s="478"/>
      <c r="C403" s="202"/>
      <c r="D403" s="202"/>
      <c r="E403" s="276"/>
      <c r="F403" s="276"/>
      <c r="G403" s="59"/>
      <c r="H403" s="59"/>
      <c r="I403" s="369"/>
      <c r="J403" s="369"/>
      <c r="K403" s="369"/>
      <c r="L403" s="369"/>
      <c r="M403" s="369"/>
      <c r="N403" s="369"/>
      <c r="O403" s="14"/>
      <c r="P403" s="286"/>
      <c r="Q403" s="14"/>
      <c r="R403" s="286"/>
      <c r="S403" s="216" t="s">
        <v>0</v>
      </c>
      <c r="T403" s="217">
        <f xml:space="preserve"> SUM(H364:H404)-SUM($G364:$G404)</f>
        <v>0.20138888888888928</v>
      </c>
      <c r="U403" s="291"/>
      <c r="AD403" s="230"/>
    </row>
    <row r="404" spans="1:30" s="229" customFormat="1" ht="33" customHeight="1" thickBot="1" x14ac:dyDescent="0.55000000000000004">
      <c r="A404" s="263"/>
      <c r="B404" s="479"/>
      <c r="C404" s="220"/>
      <c r="D404" s="220"/>
      <c r="E404" s="221"/>
      <c r="F404" s="221"/>
      <c r="G404" s="63"/>
      <c r="H404" s="63"/>
      <c r="I404" s="362"/>
      <c r="J404" s="362"/>
      <c r="K404" s="362"/>
      <c r="L404" s="362"/>
      <c r="M404" s="362"/>
      <c r="N404" s="362"/>
      <c r="O404" s="64"/>
      <c r="P404" s="289"/>
      <c r="Q404" s="64"/>
      <c r="R404" s="289"/>
      <c r="S404" s="222" t="s">
        <v>4</v>
      </c>
      <c r="T404" s="223">
        <f xml:space="preserve"> SUM(M364:M404)-SUM($J364:$J404)</f>
        <v>7.1527777777777413E-2</v>
      </c>
      <c r="U404" s="291"/>
      <c r="AD404" s="230"/>
    </row>
    <row r="405" spans="1:30" s="229" customFormat="1" ht="33" customHeight="1" x14ac:dyDescent="0.5">
      <c r="A405" s="254" t="s">
        <v>132</v>
      </c>
      <c r="B405" s="487" t="s">
        <v>1</v>
      </c>
      <c r="C405" s="315"/>
      <c r="D405" s="315"/>
      <c r="E405" s="259"/>
      <c r="F405" s="259"/>
      <c r="G405" s="77"/>
      <c r="H405" s="77"/>
      <c r="I405" s="287"/>
      <c r="J405" s="287"/>
      <c r="K405" s="287"/>
      <c r="L405" s="287"/>
      <c r="M405" s="360"/>
      <c r="N405" s="287"/>
      <c r="O405" s="3"/>
      <c r="P405" s="287"/>
      <c r="Q405" s="3"/>
      <c r="R405" s="287"/>
      <c r="T405" s="260"/>
      <c r="U405" s="198"/>
      <c r="AD405" s="230"/>
    </row>
    <row r="406" spans="1:30" s="229" customFormat="1" ht="33" customHeight="1" x14ac:dyDescent="0.5">
      <c r="A406" s="258" t="s">
        <v>11</v>
      </c>
      <c r="B406" s="487"/>
      <c r="C406" s="286" t="s">
        <v>303</v>
      </c>
      <c r="D406" s="286" t="s">
        <v>43</v>
      </c>
      <c r="E406" s="92" t="s">
        <v>35</v>
      </c>
      <c r="F406" s="92" t="s">
        <v>35</v>
      </c>
      <c r="G406" s="93">
        <v>0.33333333333333331</v>
      </c>
      <c r="H406" s="93">
        <v>0.34375</v>
      </c>
      <c r="I406" s="365">
        <v>0.36041666666666666</v>
      </c>
      <c r="J406" s="365">
        <v>0.36041666666666666</v>
      </c>
      <c r="K406" s="365">
        <v>0</v>
      </c>
      <c r="L406" s="365">
        <v>0</v>
      </c>
      <c r="M406" s="365">
        <v>0.37986111111111109</v>
      </c>
      <c r="N406" s="365">
        <f t="shared" ref="N406:N410" si="10">SUM(M406-J406)</f>
        <v>1.9444444444444431E-2</v>
      </c>
      <c r="O406" s="3" t="s">
        <v>48</v>
      </c>
      <c r="P406" s="104" t="s">
        <v>48</v>
      </c>
      <c r="Q406" s="3" t="s">
        <v>48</v>
      </c>
      <c r="R406" s="104" t="s">
        <v>48</v>
      </c>
      <c r="S406" s="184" t="s">
        <v>308</v>
      </c>
      <c r="T406" s="512"/>
      <c r="U406" s="198"/>
      <c r="AD406" s="513"/>
    </row>
    <row r="407" spans="1:30" s="229" customFormat="1" ht="33" customHeight="1" x14ac:dyDescent="0.5">
      <c r="A407" s="258" t="s">
        <v>146</v>
      </c>
      <c r="B407" s="487"/>
      <c r="C407" s="286" t="s">
        <v>304</v>
      </c>
      <c r="D407" s="286"/>
      <c r="E407" s="518" t="s">
        <v>35</v>
      </c>
      <c r="F407" s="518" t="s">
        <v>35</v>
      </c>
      <c r="G407" s="579">
        <v>0.34722222222222221</v>
      </c>
      <c r="H407" s="579">
        <v>0.3576388888888889</v>
      </c>
      <c r="I407" s="403"/>
      <c r="J407" s="403"/>
      <c r="K407" s="403"/>
      <c r="L407" s="403"/>
      <c r="M407" s="404"/>
      <c r="N407" s="404">
        <f t="shared" si="10"/>
        <v>0</v>
      </c>
      <c r="O407" s="405" t="s">
        <v>48</v>
      </c>
      <c r="P407" s="403"/>
      <c r="Q407" s="405" t="s">
        <v>48</v>
      </c>
      <c r="R407" s="403"/>
      <c r="S407" s="580" t="s">
        <v>308</v>
      </c>
      <c r="T407" s="512"/>
      <c r="U407" s="198"/>
      <c r="AD407" s="513"/>
    </row>
    <row r="408" spans="1:30" s="229" customFormat="1" ht="33" customHeight="1" x14ac:dyDescent="0.5">
      <c r="A408" s="285"/>
      <c r="B408" s="487"/>
      <c r="C408" s="286"/>
      <c r="D408" s="286"/>
      <c r="E408" s="518" t="s">
        <v>35</v>
      </c>
      <c r="F408" s="518" t="s">
        <v>35</v>
      </c>
      <c r="G408" s="579">
        <v>0.3611111111111111</v>
      </c>
      <c r="H408" s="579">
        <v>0.37152777777777779</v>
      </c>
      <c r="I408" s="403"/>
      <c r="J408" s="403"/>
      <c r="K408" s="403"/>
      <c r="L408" s="403"/>
      <c r="M408" s="404"/>
      <c r="N408" s="404">
        <f t="shared" si="10"/>
        <v>0</v>
      </c>
      <c r="O408" s="405" t="s">
        <v>48</v>
      </c>
      <c r="P408" s="403"/>
      <c r="Q408" s="405" t="s">
        <v>48</v>
      </c>
      <c r="R408" s="403"/>
      <c r="S408" s="580" t="s">
        <v>308</v>
      </c>
      <c r="T408" s="512"/>
      <c r="U408" s="198"/>
      <c r="AD408" s="513"/>
    </row>
    <row r="409" spans="1:30" s="229" customFormat="1" ht="33" customHeight="1" x14ac:dyDescent="0.5">
      <c r="A409" s="285"/>
      <c r="B409" s="487"/>
      <c r="C409" s="286"/>
      <c r="D409" s="286"/>
      <c r="E409" s="516"/>
      <c r="F409" s="516"/>
      <c r="G409" s="93"/>
      <c r="H409" s="93"/>
      <c r="I409" s="287"/>
      <c r="J409" s="287"/>
      <c r="K409" s="287"/>
      <c r="L409" s="287"/>
      <c r="M409" s="360"/>
      <c r="N409" s="365">
        <f t="shared" si="10"/>
        <v>0</v>
      </c>
      <c r="O409" s="3"/>
      <c r="P409" s="287"/>
      <c r="Q409" s="3"/>
      <c r="R409" s="287"/>
      <c r="S409" s="184" t="s">
        <v>337</v>
      </c>
      <c r="T409" s="512"/>
      <c r="U409" s="198"/>
      <c r="AD409" s="513"/>
    </row>
    <row r="410" spans="1:30" s="229" customFormat="1" ht="33" customHeight="1" thickBot="1" x14ac:dyDescent="0.55000000000000004">
      <c r="A410" s="285"/>
      <c r="B410" s="487"/>
      <c r="C410" s="572" t="s">
        <v>305</v>
      </c>
      <c r="D410" s="517" t="s">
        <v>306</v>
      </c>
      <c r="E410" s="573" t="s">
        <v>35</v>
      </c>
      <c r="F410" s="573" t="s">
        <v>35</v>
      </c>
      <c r="G410" s="574">
        <v>0.3888888888888889</v>
      </c>
      <c r="H410" s="574">
        <v>0.41666666666666669</v>
      </c>
      <c r="I410" s="365">
        <v>0.40138888888888891</v>
      </c>
      <c r="J410" s="365">
        <v>0.40902777777777777</v>
      </c>
      <c r="K410" s="365">
        <v>0.40902777777777777</v>
      </c>
      <c r="L410" s="365">
        <v>0.43194444444444446</v>
      </c>
      <c r="M410" s="365">
        <v>0.43402777777777779</v>
      </c>
      <c r="N410" s="365">
        <f t="shared" si="10"/>
        <v>2.5000000000000022E-2</v>
      </c>
      <c r="O410" s="576" t="s">
        <v>48</v>
      </c>
      <c r="P410" s="104" t="s">
        <v>48</v>
      </c>
      <c r="Q410" s="576" t="s">
        <v>48</v>
      </c>
      <c r="R410" s="104" t="s">
        <v>48</v>
      </c>
      <c r="S410" s="575" t="s">
        <v>309</v>
      </c>
      <c r="T410" s="512"/>
      <c r="U410" s="198"/>
      <c r="AD410" s="513"/>
    </row>
    <row r="411" spans="1:30" s="229" customFormat="1" ht="33" customHeight="1" x14ac:dyDescent="0.5">
      <c r="A411" s="285"/>
      <c r="B411" s="487"/>
      <c r="C411" s="286"/>
      <c r="D411" s="517" t="s">
        <v>307</v>
      </c>
      <c r="E411" s="516"/>
      <c r="F411" s="516"/>
      <c r="G411" s="93"/>
      <c r="H411" s="93"/>
      <c r="I411" s="287"/>
      <c r="J411" s="287"/>
      <c r="K411" s="287"/>
      <c r="L411" s="287"/>
      <c r="M411" s="360"/>
      <c r="N411" s="287"/>
      <c r="O411" s="3"/>
      <c r="P411" s="287"/>
      <c r="Q411" s="3"/>
      <c r="R411" s="287"/>
      <c r="S411" s="523"/>
      <c r="T411" s="512"/>
      <c r="U411" s="198"/>
      <c r="AD411" s="513"/>
    </row>
    <row r="412" spans="1:30" s="229" customFormat="1" ht="33" customHeight="1" x14ac:dyDescent="0.5">
      <c r="A412" s="285"/>
      <c r="B412" s="487"/>
      <c r="C412" s="286"/>
      <c r="D412" s="517"/>
      <c r="E412" s="516"/>
      <c r="F412" s="516"/>
      <c r="G412" s="93"/>
      <c r="H412" s="93"/>
      <c r="I412" s="287"/>
      <c r="J412" s="287"/>
      <c r="K412" s="287"/>
      <c r="L412" s="287"/>
      <c r="M412" s="360"/>
      <c r="N412" s="287"/>
      <c r="O412" s="3"/>
      <c r="P412" s="287"/>
      <c r="Q412" s="3"/>
      <c r="R412" s="287"/>
      <c r="S412" s="523" t="s">
        <v>47</v>
      </c>
      <c r="T412" s="524"/>
      <c r="U412" s="198"/>
      <c r="AD412" s="513"/>
    </row>
    <row r="413" spans="1:30" s="229" customFormat="1" ht="33" customHeight="1" x14ac:dyDescent="0.5">
      <c r="A413" s="285"/>
      <c r="B413" s="487"/>
      <c r="C413" s="315"/>
      <c r="D413" s="315"/>
      <c r="E413" s="259"/>
      <c r="F413" s="259"/>
      <c r="G413" s="77"/>
      <c r="H413" s="77"/>
      <c r="I413" s="287"/>
      <c r="J413" s="287"/>
      <c r="K413" s="287"/>
      <c r="L413" s="287"/>
      <c r="M413" s="360"/>
      <c r="N413" s="287"/>
      <c r="O413" s="3"/>
      <c r="P413" s="287"/>
      <c r="Q413" s="3"/>
      <c r="R413" s="287"/>
      <c r="S413" s="184" t="s">
        <v>286</v>
      </c>
      <c r="T413" s="512"/>
      <c r="U413" s="198"/>
      <c r="AD413" s="513"/>
    </row>
    <row r="414" spans="1:30" s="229" customFormat="1" ht="33" customHeight="1" x14ac:dyDescent="0.5">
      <c r="B414" s="487"/>
      <c r="C414" s="315" t="s">
        <v>282</v>
      </c>
      <c r="D414" s="315" t="s">
        <v>43</v>
      </c>
      <c r="E414" s="76" t="s">
        <v>35</v>
      </c>
      <c r="F414" s="76" t="s">
        <v>42</v>
      </c>
      <c r="G414" s="77">
        <v>0.45833333333333331</v>
      </c>
      <c r="H414" s="77">
        <v>0.53125</v>
      </c>
      <c r="I414" s="365">
        <v>0.48472222222222222</v>
      </c>
      <c r="J414" s="365">
        <v>0.48958333333333331</v>
      </c>
      <c r="K414" s="365">
        <v>0.49166666666666664</v>
      </c>
      <c r="L414" s="365">
        <v>0.56874999999999998</v>
      </c>
      <c r="M414" s="365">
        <v>0.5708333333333333</v>
      </c>
      <c r="N414" s="365">
        <f t="shared" ref="N414:N419" si="11">SUM(M414-J414)</f>
        <v>8.1249999999999989E-2</v>
      </c>
      <c r="O414" s="3" t="s">
        <v>48</v>
      </c>
      <c r="P414" s="104" t="s">
        <v>48</v>
      </c>
      <c r="Q414" s="3">
        <v>1800</v>
      </c>
      <c r="R414" s="104">
        <v>1481</v>
      </c>
      <c r="S414" s="242" t="s">
        <v>328</v>
      </c>
      <c r="T414" s="260"/>
      <c r="U414" s="198"/>
      <c r="AD414" s="230"/>
    </row>
    <row r="415" spans="1:30" s="229" customFormat="1" ht="33" customHeight="1" x14ac:dyDescent="0.5">
      <c r="B415" s="487"/>
      <c r="C415" s="400" t="s">
        <v>281</v>
      </c>
      <c r="D415" s="400" t="s">
        <v>43</v>
      </c>
      <c r="E415" s="518" t="s">
        <v>42</v>
      </c>
      <c r="F415" s="518" t="s">
        <v>106</v>
      </c>
      <c r="G415" s="579">
        <v>0.5625</v>
      </c>
      <c r="H415" s="579">
        <v>0.59375</v>
      </c>
      <c r="I415" s="403"/>
      <c r="J415" s="403"/>
      <c r="K415" s="403"/>
      <c r="L415" s="403"/>
      <c r="M415" s="404"/>
      <c r="N415" s="404"/>
      <c r="O415" s="405" t="s">
        <v>263</v>
      </c>
      <c r="P415" s="403"/>
      <c r="Q415" s="405" t="s">
        <v>48</v>
      </c>
      <c r="R415" s="403"/>
      <c r="S415" s="571" t="s">
        <v>261</v>
      </c>
      <c r="T415" s="260"/>
      <c r="U415" s="198"/>
      <c r="AD415" s="230"/>
    </row>
    <row r="416" spans="1:30" s="229" customFormat="1" ht="33" customHeight="1" x14ac:dyDescent="0.5">
      <c r="B416" s="487"/>
      <c r="C416" s="577"/>
      <c r="D416" s="577"/>
      <c r="E416" s="518" t="s">
        <v>106</v>
      </c>
      <c r="F416" s="518" t="s">
        <v>42</v>
      </c>
      <c r="G416" s="579">
        <v>0.625</v>
      </c>
      <c r="H416" s="579">
        <v>0.65625</v>
      </c>
      <c r="I416" s="403"/>
      <c r="J416" s="403"/>
      <c r="K416" s="403"/>
      <c r="L416" s="403"/>
      <c r="M416" s="404"/>
      <c r="N416" s="404"/>
      <c r="O416" s="405" t="s">
        <v>264</v>
      </c>
      <c r="P416" s="403"/>
      <c r="Q416" s="405" t="s">
        <v>48</v>
      </c>
      <c r="R416" s="403"/>
      <c r="S416" s="571" t="s">
        <v>261</v>
      </c>
      <c r="T416" s="260"/>
      <c r="U416" s="198"/>
      <c r="AD416" s="230"/>
    </row>
    <row r="417" spans="1:30" s="229" customFormat="1" ht="33" customHeight="1" x14ac:dyDescent="0.5">
      <c r="A417" s="285"/>
      <c r="B417" s="487"/>
      <c r="C417" s="202"/>
      <c r="D417" s="202"/>
      <c r="E417" s="259"/>
      <c r="F417" s="259"/>
      <c r="G417" s="77"/>
      <c r="H417" s="77"/>
      <c r="I417" s="360"/>
      <c r="J417" s="360"/>
      <c r="K417" s="360"/>
      <c r="L417" s="360"/>
      <c r="M417" s="360"/>
      <c r="N417" s="287"/>
      <c r="O417" s="53"/>
      <c r="P417" s="287"/>
      <c r="Q417" s="53"/>
      <c r="R417" s="287"/>
      <c r="S417" s="242"/>
      <c r="T417" s="260"/>
      <c r="U417" s="198"/>
      <c r="AD417" s="230"/>
    </row>
    <row r="418" spans="1:30" s="229" customFormat="1" ht="33" customHeight="1" x14ac:dyDescent="0.5">
      <c r="A418" s="285"/>
      <c r="B418" s="487"/>
      <c r="C418" s="400" t="s">
        <v>234</v>
      </c>
      <c r="D418" s="400" t="s">
        <v>43</v>
      </c>
      <c r="E418" s="401" t="s">
        <v>42</v>
      </c>
      <c r="F418" s="401" t="s">
        <v>106</v>
      </c>
      <c r="G418" s="402">
        <v>0.47916666666666669</v>
      </c>
      <c r="H418" s="402">
        <v>0.51041666666666663</v>
      </c>
      <c r="I418" s="403"/>
      <c r="J418" s="403"/>
      <c r="K418" s="403"/>
      <c r="L418" s="403"/>
      <c r="M418" s="404"/>
      <c r="N418" s="404">
        <f t="shared" si="11"/>
        <v>0</v>
      </c>
      <c r="O418" s="405">
        <v>1</v>
      </c>
      <c r="P418" s="403"/>
      <c r="Q418" s="405">
        <v>2000</v>
      </c>
      <c r="R418" s="403"/>
      <c r="S418" s="578" t="s">
        <v>265</v>
      </c>
      <c r="T418" s="316"/>
      <c r="U418" s="198"/>
      <c r="AD418" s="230"/>
    </row>
    <row r="419" spans="1:30" s="229" customFormat="1" ht="33" customHeight="1" x14ac:dyDescent="0.5">
      <c r="A419" s="285"/>
      <c r="B419" s="487"/>
      <c r="C419" s="400"/>
      <c r="D419" s="400"/>
      <c r="E419" s="401" t="s">
        <v>106</v>
      </c>
      <c r="F419" s="401" t="s">
        <v>42</v>
      </c>
      <c r="G419" s="402">
        <v>0.54166666666666663</v>
      </c>
      <c r="H419" s="402">
        <v>0.57291666666666663</v>
      </c>
      <c r="I419" s="403"/>
      <c r="J419" s="403"/>
      <c r="K419" s="403"/>
      <c r="L419" s="403"/>
      <c r="M419" s="404"/>
      <c r="N419" s="404">
        <f t="shared" si="11"/>
        <v>0</v>
      </c>
      <c r="O419" s="405">
        <v>1</v>
      </c>
      <c r="P419" s="403"/>
      <c r="Q419" s="405">
        <v>220</v>
      </c>
      <c r="R419" s="403"/>
      <c r="S419" s="578" t="s">
        <v>274</v>
      </c>
      <c r="T419" s="316"/>
      <c r="U419" s="198"/>
      <c r="AD419" s="230"/>
    </row>
    <row r="420" spans="1:30" s="229" customFormat="1" ht="33" customHeight="1" x14ac:dyDescent="0.5">
      <c r="A420" s="285"/>
      <c r="B420" s="487"/>
      <c r="C420" s="202"/>
      <c r="D420" s="202"/>
      <c r="E420" s="259"/>
      <c r="F420" s="259"/>
      <c r="G420" s="77"/>
      <c r="H420" s="77"/>
      <c r="I420" s="360"/>
      <c r="J420" s="360"/>
      <c r="K420" s="360"/>
      <c r="L420" s="360"/>
      <c r="M420" s="360"/>
      <c r="N420" s="287"/>
      <c r="O420" s="53"/>
      <c r="P420" s="287"/>
      <c r="Q420" s="53"/>
      <c r="R420" s="287"/>
      <c r="S420" s="184" t="s">
        <v>335</v>
      </c>
      <c r="T420" s="260"/>
      <c r="U420" s="198"/>
      <c r="AD420" s="230"/>
    </row>
    <row r="421" spans="1:30" s="229" customFormat="1" ht="33" customHeight="1" x14ac:dyDescent="0.5">
      <c r="A421" s="285"/>
      <c r="B421" s="487"/>
      <c r="C421" s="202"/>
      <c r="D421" s="202"/>
      <c r="E421" s="259"/>
      <c r="F421" s="259"/>
      <c r="G421" s="77"/>
      <c r="H421" s="77"/>
      <c r="I421" s="360"/>
      <c r="J421" s="360"/>
      <c r="K421" s="360"/>
      <c r="L421" s="360"/>
      <c r="M421" s="360"/>
      <c r="N421" s="287"/>
      <c r="O421" s="53"/>
      <c r="P421" s="287"/>
      <c r="Q421" s="53"/>
      <c r="R421" s="287"/>
      <c r="S421" s="146" t="s">
        <v>73</v>
      </c>
      <c r="T421" s="237"/>
      <c r="U421" s="198"/>
      <c r="AD421" s="230"/>
    </row>
    <row r="422" spans="1:30" s="229" customFormat="1" ht="33" customHeight="1" x14ac:dyDescent="0.5">
      <c r="A422" s="285"/>
      <c r="B422" s="487"/>
      <c r="C422" s="202"/>
      <c r="D422" s="202"/>
      <c r="E422" s="259"/>
      <c r="F422" s="259"/>
      <c r="G422" s="77"/>
      <c r="H422" s="77"/>
      <c r="I422" s="360"/>
      <c r="J422" s="360"/>
      <c r="K422" s="360"/>
      <c r="L422" s="360"/>
      <c r="M422" s="360"/>
      <c r="N422" s="287"/>
      <c r="O422" s="53"/>
      <c r="P422" s="287"/>
      <c r="Q422" s="53"/>
      <c r="R422" s="287"/>
      <c r="S422" s="207" t="s">
        <v>74</v>
      </c>
      <c r="T422" s="238"/>
      <c r="U422" s="198"/>
      <c r="AD422" s="230"/>
    </row>
    <row r="423" spans="1:30" s="229" customFormat="1" ht="33" customHeight="1" x14ac:dyDescent="0.5">
      <c r="A423" s="285"/>
      <c r="B423" s="487"/>
      <c r="C423" s="202"/>
      <c r="D423" s="202"/>
      <c r="E423" s="259"/>
      <c r="F423" s="259"/>
      <c r="G423" s="77"/>
      <c r="H423" s="77"/>
      <c r="I423" s="360"/>
      <c r="J423" s="360"/>
      <c r="K423" s="360"/>
      <c r="L423" s="360"/>
      <c r="M423" s="360"/>
      <c r="N423" s="287"/>
      <c r="O423" s="53"/>
      <c r="P423" s="287"/>
      <c r="Q423" s="53"/>
      <c r="R423" s="287"/>
      <c r="S423" s="207" t="s">
        <v>75</v>
      </c>
      <c r="T423" s="238"/>
      <c r="U423" s="198"/>
      <c r="AD423" s="230"/>
    </row>
    <row r="424" spans="1:30" s="229" customFormat="1" ht="33" customHeight="1" x14ac:dyDescent="0.5">
      <c r="A424" s="285"/>
      <c r="B424" s="487"/>
      <c r="C424" s="202"/>
      <c r="D424" s="202"/>
      <c r="E424" s="259"/>
      <c r="F424" s="259"/>
      <c r="G424" s="77"/>
      <c r="H424" s="77"/>
      <c r="I424" s="360"/>
      <c r="J424" s="360"/>
      <c r="K424" s="360"/>
      <c r="L424" s="360"/>
      <c r="M424" s="360"/>
      <c r="N424" s="287"/>
      <c r="O424" s="53"/>
      <c r="P424" s="287"/>
      <c r="Q424" s="53"/>
      <c r="R424" s="287"/>
      <c r="S424" s="208" t="s">
        <v>76</v>
      </c>
      <c r="T424" s="238"/>
      <c r="U424" s="198"/>
      <c r="AD424" s="230"/>
    </row>
    <row r="425" spans="1:30" s="229" customFormat="1" ht="33" customHeight="1" x14ac:dyDescent="0.5">
      <c r="A425" s="285"/>
      <c r="B425" s="487"/>
      <c r="C425" s="202"/>
      <c r="D425" s="202"/>
      <c r="E425" s="259"/>
      <c r="F425" s="259"/>
      <c r="G425" s="77"/>
      <c r="H425" s="77"/>
      <c r="I425" s="360"/>
      <c r="J425" s="360"/>
      <c r="K425" s="360"/>
      <c r="L425" s="360"/>
      <c r="M425" s="360"/>
      <c r="N425" s="287"/>
      <c r="O425" s="53"/>
      <c r="P425" s="287"/>
      <c r="Q425" s="53"/>
      <c r="R425" s="287"/>
      <c r="S425" s="209" t="s">
        <v>77</v>
      </c>
      <c r="T425" s="238"/>
      <c r="U425" s="198"/>
      <c r="AD425" s="230"/>
    </row>
    <row r="426" spans="1:30" s="229" customFormat="1" ht="33" customHeight="1" x14ac:dyDescent="0.5">
      <c r="A426" s="285"/>
      <c r="B426" s="487"/>
      <c r="C426" s="202"/>
      <c r="D426" s="202"/>
      <c r="E426" s="259"/>
      <c r="F426" s="259"/>
      <c r="G426" s="77"/>
      <c r="H426" s="77"/>
      <c r="I426" s="360"/>
      <c r="J426" s="360"/>
      <c r="K426" s="360"/>
      <c r="L426" s="360"/>
      <c r="M426" s="360"/>
      <c r="N426" s="287"/>
      <c r="O426" s="53"/>
      <c r="P426" s="287"/>
      <c r="Q426" s="53"/>
      <c r="R426" s="287"/>
      <c r="S426" s="209" t="s">
        <v>78</v>
      </c>
      <c r="T426" s="238"/>
      <c r="U426" s="198"/>
      <c r="AD426" s="230"/>
    </row>
    <row r="427" spans="1:30" s="229" customFormat="1" ht="33" customHeight="1" x14ac:dyDescent="0.5">
      <c r="A427" s="285"/>
      <c r="B427" s="487"/>
      <c r="C427" s="202"/>
      <c r="D427" s="202"/>
      <c r="E427" s="259"/>
      <c r="F427" s="259"/>
      <c r="G427" s="77"/>
      <c r="H427" s="77"/>
      <c r="I427" s="360"/>
      <c r="J427" s="360"/>
      <c r="K427" s="360"/>
      <c r="L427" s="360"/>
      <c r="M427" s="360"/>
      <c r="N427" s="287"/>
      <c r="O427" s="53"/>
      <c r="P427" s="287"/>
      <c r="Q427" s="53"/>
      <c r="R427" s="287"/>
      <c r="S427" s="208" t="s">
        <v>168</v>
      </c>
      <c r="T427" s="239"/>
      <c r="U427" s="198"/>
      <c r="AD427" s="230"/>
    </row>
    <row r="428" spans="1:30" s="229" customFormat="1" ht="33" customHeight="1" x14ac:dyDescent="0.5">
      <c r="A428" s="285"/>
      <c r="B428" s="487"/>
      <c r="C428" s="202"/>
      <c r="D428" s="202"/>
      <c r="E428" s="259"/>
      <c r="F428" s="259"/>
      <c r="G428" s="77"/>
      <c r="H428" s="77"/>
      <c r="I428" s="360"/>
      <c r="J428" s="360"/>
      <c r="K428" s="360"/>
      <c r="L428" s="360"/>
      <c r="M428" s="360"/>
      <c r="N428" s="287"/>
      <c r="O428" s="53"/>
      <c r="P428" s="287"/>
      <c r="Q428" s="53"/>
      <c r="R428" s="287"/>
      <c r="S428" s="210" t="s">
        <v>169</v>
      </c>
      <c r="T428" s="239"/>
      <c r="U428" s="198"/>
      <c r="AD428" s="230"/>
    </row>
    <row r="429" spans="1:30" s="229" customFormat="1" ht="33" customHeight="1" x14ac:dyDescent="0.5">
      <c r="A429" s="285"/>
      <c r="B429" s="487"/>
      <c r="C429" s="202"/>
      <c r="D429" s="202"/>
      <c r="E429" s="259"/>
      <c r="F429" s="259"/>
      <c r="G429" s="77"/>
      <c r="H429" s="77"/>
      <c r="I429" s="360"/>
      <c r="J429" s="360"/>
      <c r="K429" s="360"/>
      <c r="L429" s="360"/>
      <c r="M429" s="360"/>
      <c r="N429" s="287"/>
      <c r="O429" s="53"/>
      <c r="P429" s="287"/>
      <c r="Q429" s="53"/>
      <c r="R429" s="287"/>
      <c r="S429" s="210" t="s">
        <v>170</v>
      </c>
      <c r="T429" s="239"/>
      <c r="U429" s="198"/>
      <c r="AD429" s="230"/>
    </row>
    <row r="430" spans="1:30" s="229" customFormat="1" ht="33" customHeight="1" x14ac:dyDescent="0.5">
      <c r="A430" s="285"/>
      <c r="B430" s="487"/>
      <c r="C430" s="202"/>
      <c r="D430" s="202"/>
      <c r="E430" s="259"/>
      <c r="F430" s="259"/>
      <c r="G430" s="77"/>
      <c r="H430" s="77"/>
      <c r="I430" s="360"/>
      <c r="J430" s="360"/>
      <c r="K430" s="360"/>
      <c r="L430" s="360"/>
      <c r="M430" s="360"/>
      <c r="N430" s="287"/>
      <c r="O430" s="53"/>
      <c r="P430" s="287"/>
      <c r="Q430" s="53"/>
      <c r="R430" s="287"/>
      <c r="S430" s="210" t="s">
        <v>171</v>
      </c>
      <c r="T430" s="239"/>
      <c r="U430" s="198"/>
      <c r="AD430" s="230"/>
    </row>
    <row r="431" spans="1:30" s="229" customFormat="1" ht="33" customHeight="1" x14ac:dyDescent="0.5">
      <c r="A431" s="285"/>
      <c r="B431" s="487"/>
      <c r="C431" s="202"/>
      <c r="D431" s="202"/>
      <c r="E431" s="259"/>
      <c r="F431" s="259"/>
      <c r="G431" s="77"/>
      <c r="H431" s="77"/>
      <c r="I431" s="360"/>
      <c r="J431" s="360"/>
      <c r="K431" s="360"/>
      <c r="L431" s="360"/>
      <c r="M431" s="360"/>
      <c r="N431" s="287"/>
      <c r="O431" s="53"/>
      <c r="P431" s="287"/>
      <c r="Q431" s="53"/>
      <c r="R431" s="287"/>
      <c r="S431" s="211" t="s">
        <v>175</v>
      </c>
      <c r="T431" s="240"/>
      <c r="U431" s="198"/>
      <c r="AD431" s="230"/>
    </row>
    <row r="432" spans="1:30" s="229" customFormat="1" ht="33" customHeight="1" x14ac:dyDescent="0.5">
      <c r="A432" s="285"/>
      <c r="B432" s="487"/>
      <c r="C432" s="202"/>
      <c r="D432" s="202"/>
      <c r="E432" s="259"/>
      <c r="F432" s="259"/>
      <c r="G432" s="77"/>
      <c r="H432" s="77"/>
      <c r="I432" s="360"/>
      <c r="J432" s="360"/>
      <c r="K432" s="360"/>
      <c r="L432" s="360"/>
      <c r="M432" s="360"/>
      <c r="N432" s="287"/>
      <c r="O432" s="53"/>
      <c r="P432" s="287"/>
      <c r="Q432" s="53"/>
      <c r="R432" s="287"/>
      <c r="S432" s="208" t="s">
        <v>176</v>
      </c>
      <c r="T432" s="240"/>
      <c r="U432" s="198"/>
      <c r="AD432" s="230"/>
    </row>
    <row r="433" spans="1:30" s="229" customFormat="1" ht="33" customHeight="1" x14ac:dyDescent="0.5">
      <c r="A433" s="285"/>
      <c r="B433" s="487"/>
      <c r="C433" s="202"/>
      <c r="D433" s="202"/>
      <c r="E433" s="259"/>
      <c r="F433" s="259"/>
      <c r="G433" s="77"/>
      <c r="H433" s="77"/>
      <c r="I433" s="360"/>
      <c r="J433" s="360"/>
      <c r="K433" s="360"/>
      <c r="L433" s="360"/>
      <c r="M433" s="360"/>
      <c r="N433" s="287"/>
      <c r="O433" s="53"/>
      <c r="P433" s="287"/>
      <c r="Q433" s="53"/>
      <c r="R433" s="287"/>
      <c r="S433" s="242"/>
      <c r="T433" s="260"/>
      <c r="U433" s="198"/>
      <c r="AD433" s="230"/>
    </row>
    <row r="434" spans="1:30" s="229" customFormat="1" ht="33" customHeight="1" x14ac:dyDescent="0.5">
      <c r="A434" s="285"/>
      <c r="B434" s="487"/>
      <c r="C434" s="202"/>
      <c r="D434" s="202"/>
      <c r="E434" s="259"/>
      <c r="F434" s="259"/>
      <c r="G434" s="77"/>
      <c r="H434" s="77"/>
      <c r="I434" s="360"/>
      <c r="J434" s="360"/>
      <c r="K434" s="360"/>
      <c r="L434" s="360"/>
      <c r="M434" s="360"/>
      <c r="N434" s="287"/>
      <c r="O434" s="53"/>
      <c r="P434" s="287"/>
      <c r="Q434" s="53"/>
      <c r="R434" s="287"/>
      <c r="S434" s="208" t="s">
        <v>97</v>
      </c>
      <c r="T434" s="237"/>
      <c r="U434" s="198"/>
      <c r="AD434" s="230"/>
    </row>
    <row r="435" spans="1:30" s="229" customFormat="1" ht="33" customHeight="1" x14ac:dyDescent="0.5">
      <c r="A435" s="285"/>
      <c r="B435" s="487"/>
      <c r="C435" s="202"/>
      <c r="D435" s="202"/>
      <c r="E435" s="259"/>
      <c r="F435" s="259"/>
      <c r="G435" s="77"/>
      <c r="H435" s="77"/>
      <c r="I435" s="360"/>
      <c r="J435" s="360"/>
      <c r="K435" s="360"/>
      <c r="L435" s="360"/>
      <c r="M435" s="360"/>
      <c r="N435" s="287"/>
      <c r="O435" s="53"/>
      <c r="P435" s="287"/>
      <c r="Q435" s="53"/>
      <c r="R435" s="287"/>
      <c r="S435" s="290" t="s">
        <v>123</v>
      </c>
      <c r="T435" s="230"/>
      <c r="U435" s="198"/>
      <c r="AD435" s="230"/>
    </row>
    <row r="436" spans="1:30" s="229" customFormat="1" ht="33" customHeight="1" x14ac:dyDescent="0.5">
      <c r="A436" s="285"/>
      <c r="B436" s="487"/>
      <c r="C436" s="202"/>
      <c r="D436" s="202"/>
      <c r="E436" s="259"/>
      <c r="F436" s="259"/>
      <c r="G436" s="77"/>
      <c r="H436" s="77"/>
      <c r="I436" s="360"/>
      <c r="J436" s="360"/>
      <c r="K436" s="360"/>
      <c r="L436" s="360"/>
      <c r="M436" s="360"/>
      <c r="N436" s="287"/>
      <c r="O436" s="53"/>
      <c r="P436" s="287"/>
      <c r="Q436" s="53"/>
      <c r="R436" s="287"/>
      <c r="S436" s="242"/>
      <c r="T436" s="260"/>
      <c r="U436" s="198"/>
      <c r="AD436" s="230"/>
    </row>
    <row r="437" spans="1:30" s="229" customFormat="1" ht="33" customHeight="1" x14ac:dyDescent="0.5">
      <c r="A437" s="285"/>
      <c r="B437" s="487"/>
      <c r="C437" s="202"/>
      <c r="D437" s="202"/>
      <c r="E437" s="259"/>
      <c r="F437" s="259"/>
      <c r="G437" s="77"/>
      <c r="H437" s="77"/>
      <c r="I437" s="360"/>
      <c r="J437" s="360"/>
      <c r="K437" s="360"/>
      <c r="L437" s="360"/>
      <c r="M437" s="360"/>
      <c r="N437" s="287"/>
      <c r="O437" s="53"/>
      <c r="P437" s="287"/>
      <c r="Q437" s="53"/>
      <c r="R437" s="287"/>
      <c r="S437" s="184" t="s">
        <v>191</v>
      </c>
      <c r="T437" s="260" t="s">
        <v>190</v>
      </c>
      <c r="U437" s="198"/>
      <c r="AD437" s="230"/>
    </row>
    <row r="438" spans="1:30" s="229" customFormat="1" ht="33" customHeight="1" x14ac:dyDescent="0.5">
      <c r="A438" s="285"/>
      <c r="B438" s="487"/>
      <c r="C438" s="202"/>
      <c r="D438" s="202"/>
      <c r="E438" s="259"/>
      <c r="F438" s="259"/>
      <c r="G438" s="77"/>
      <c r="H438" s="77"/>
      <c r="I438" s="360"/>
      <c r="J438" s="360"/>
      <c r="K438" s="360"/>
      <c r="L438" s="360"/>
      <c r="M438" s="360"/>
      <c r="N438" s="287"/>
      <c r="O438" s="53"/>
      <c r="P438" s="287"/>
      <c r="Q438" s="53"/>
      <c r="R438" s="287"/>
      <c r="S438" s="184" t="s">
        <v>199</v>
      </c>
      <c r="T438" s="260" t="s">
        <v>190</v>
      </c>
      <c r="U438" s="198"/>
      <c r="AD438" s="230"/>
    </row>
    <row r="439" spans="1:30" s="229" customFormat="1" ht="33" customHeight="1" x14ac:dyDescent="0.5">
      <c r="A439" s="285"/>
      <c r="B439" s="487"/>
      <c r="C439" s="202"/>
      <c r="D439" s="202"/>
      <c r="E439" s="259"/>
      <c r="F439" s="259"/>
      <c r="G439" s="77"/>
      <c r="H439" s="77"/>
      <c r="I439" s="360"/>
      <c r="J439" s="360"/>
      <c r="K439" s="360"/>
      <c r="L439" s="360"/>
      <c r="M439" s="360"/>
      <c r="N439" s="287"/>
      <c r="O439" s="53"/>
      <c r="P439" s="287"/>
      <c r="Q439" s="53"/>
      <c r="R439" s="287"/>
      <c r="S439" s="184" t="s">
        <v>204</v>
      </c>
      <c r="T439" s="260" t="s">
        <v>190</v>
      </c>
      <c r="U439" s="198"/>
      <c r="AD439" s="230"/>
    </row>
    <row r="440" spans="1:30" s="229" customFormat="1" ht="33" customHeight="1" x14ac:dyDescent="0.5">
      <c r="A440" s="285"/>
      <c r="B440" s="487"/>
      <c r="C440" s="202"/>
      <c r="D440" s="202"/>
      <c r="E440" s="259"/>
      <c r="F440" s="259"/>
      <c r="G440" s="77"/>
      <c r="H440" s="77"/>
      <c r="I440" s="360"/>
      <c r="J440" s="360"/>
      <c r="K440" s="360"/>
      <c r="L440" s="360"/>
      <c r="M440" s="360"/>
      <c r="N440" s="287"/>
      <c r="O440" s="53"/>
      <c r="P440" s="287"/>
      <c r="Q440" s="53"/>
      <c r="R440" s="287"/>
      <c r="S440" s="242"/>
      <c r="T440" s="260"/>
      <c r="U440" s="198"/>
      <c r="AD440" s="230"/>
    </row>
    <row r="441" spans="1:30" s="229" customFormat="1" ht="33" customHeight="1" x14ac:dyDescent="0.5">
      <c r="A441" s="285"/>
      <c r="B441" s="487"/>
      <c r="C441" s="202"/>
      <c r="D441" s="202"/>
      <c r="E441" s="259"/>
      <c r="F441" s="259"/>
      <c r="G441" s="77"/>
      <c r="H441" s="77"/>
      <c r="I441" s="360"/>
      <c r="J441" s="360"/>
      <c r="K441" s="360"/>
      <c r="L441" s="360"/>
      <c r="M441" s="360"/>
      <c r="N441" s="287"/>
      <c r="O441" s="53"/>
      <c r="P441" s="287"/>
      <c r="Q441" s="53"/>
      <c r="R441" s="287"/>
      <c r="S441" s="184" t="s">
        <v>126</v>
      </c>
      <c r="T441" s="260"/>
      <c r="U441" s="198"/>
      <c r="AD441" s="230"/>
    </row>
    <row r="442" spans="1:30" s="229" customFormat="1" ht="33" customHeight="1" x14ac:dyDescent="0.5">
      <c r="A442" s="285"/>
      <c r="B442" s="487"/>
      <c r="C442" s="202"/>
      <c r="D442" s="202"/>
      <c r="E442" s="259"/>
      <c r="F442" s="259"/>
      <c r="G442" s="77"/>
      <c r="H442" s="77"/>
      <c r="I442" s="360"/>
      <c r="J442" s="360"/>
      <c r="K442" s="360"/>
      <c r="L442" s="360"/>
      <c r="M442" s="360"/>
      <c r="N442" s="287"/>
      <c r="O442" s="53"/>
      <c r="P442" s="287"/>
      <c r="Q442" s="53"/>
      <c r="R442" s="287"/>
      <c r="S442" s="184" t="s">
        <v>235</v>
      </c>
      <c r="T442" s="531" t="s">
        <v>338</v>
      </c>
      <c r="U442" s="198"/>
      <c r="AD442" s="230"/>
    </row>
    <row r="443" spans="1:30" s="229" customFormat="1" ht="33" customHeight="1" x14ac:dyDescent="0.5">
      <c r="A443" s="285"/>
      <c r="B443" s="487"/>
      <c r="C443" s="202"/>
      <c r="D443" s="202"/>
      <c r="E443" s="259"/>
      <c r="F443" s="259"/>
      <c r="G443" s="77"/>
      <c r="H443" s="77"/>
      <c r="I443" s="360"/>
      <c r="J443" s="360"/>
      <c r="K443" s="360"/>
      <c r="L443" s="360"/>
      <c r="M443" s="360"/>
      <c r="N443" s="287"/>
      <c r="O443" s="53"/>
      <c r="P443" s="287"/>
      <c r="Q443" s="53"/>
      <c r="R443" s="287"/>
      <c r="S443" s="184" t="s">
        <v>236</v>
      </c>
      <c r="T443" s="531" t="s">
        <v>339</v>
      </c>
      <c r="U443" s="198"/>
      <c r="AD443" s="230"/>
    </row>
    <row r="444" spans="1:30" s="229" customFormat="1" ht="33" customHeight="1" x14ac:dyDescent="0.5">
      <c r="A444" s="285"/>
      <c r="B444" s="487"/>
      <c r="C444" s="202"/>
      <c r="D444" s="202"/>
      <c r="E444" s="259"/>
      <c r="F444" s="259"/>
      <c r="G444" s="77"/>
      <c r="H444" s="77"/>
      <c r="I444" s="360"/>
      <c r="J444" s="360"/>
      <c r="K444" s="360"/>
      <c r="L444" s="360"/>
      <c r="M444" s="360"/>
      <c r="N444" s="287"/>
      <c r="O444" s="53"/>
      <c r="P444" s="287"/>
      <c r="Q444" s="53"/>
      <c r="R444" s="287"/>
      <c r="S444" s="242"/>
      <c r="T444" s="260"/>
      <c r="U444" s="198"/>
      <c r="AD444" s="230"/>
    </row>
    <row r="445" spans="1:30" s="229" customFormat="1" ht="33" customHeight="1" x14ac:dyDescent="0.5">
      <c r="A445" s="285"/>
      <c r="B445" s="487"/>
      <c r="C445" s="202"/>
      <c r="D445" s="202"/>
      <c r="E445" s="317"/>
      <c r="F445" s="317"/>
      <c r="G445" s="59"/>
      <c r="H445" s="59"/>
      <c r="I445" s="369"/>
      <c r="J445" s="369"/>
      <c r="K445" s="369"/>
      <c r="L445" s="369"/>
      <c r="M445" s="369"/>
      <c r="N445" s="369"/>
      <c r="O445" s="14"/>
      <c r="P445" s="286"/>
      <c r="Q445" s="14"/>
      <c r="R445" s="286"/>
      <c r="S445" s="216" t="s">
        <v>0</v>
      </c>
      <c r="T445" s="217">
        <f xml:space="preserve"> SUM(H405:H446)-SUM($G405:$G446)</f>
        <v>0.25694444444444375</v>
      </c>
      <c r="U445" s="291"/>
      <c r="AD445" s="230"/>
    </row>
    <row r="446" spans="1:30" s="229" customFormat="1" ht="33" customHeight="1" thickBot="1" x14ac:dyDescent="0.55000000000000004">
      <c r="A446" s="288"/>
      <c r="B446" s="488"/>
      <c r="C446" s="220"/>
      <c r="D446" s="220"/>
      <c r="E446" s="221"/>
      <c r="F446" s="221"/>
      <c r="G446" s="63"/>
      <c r="H446" s="63"/>
      <c r="I446" s="362"/>
      <c r="J446" s="362"/>
      <c r="K446" s="362"/>
      <c r="L446" s="362"/>
      <c r="M446" s="362"/>
      <c r="N446" s="362"/>
      <c r="O446" s="64"/>
      <c r="P446" s="289"/>
      <c r="Q446" s="64"/>
      <c r="R446" s="289"/>
      <c r="S446" s="222" t="s">
        <v>4</v>
      </c>
      <c r="T446" s="223">
        <f xml:space="preserve"> SUM(M405:M446)-SUM($J405:$J446)</f>
        <v>0.12569444444444455</v>
      </c>
      <c r="U446" s="291"/>
      <c r="AD446" s="230"/>
    </row>
    <row r="447" spans="1:30" s="229" customFormat="1" ht="33" customHeight="1" x14ac:dyDescent="0.5">
      <c r="A447" s="254" t="s">
        <v>133</v>
      </c>
      <c r="B447" s="489" t="s">
        <v>287</v>
      </c>
      <c r="C447" s="194"/>
      <c r="D447" s="194"/>
      <c r="E447" s="255"/>
      <c r="F447" s="318"/>
      <c r="G447" s="135"/>
      <c r="H447" s="135"/>
      <c r="I447" s="359"/>
      <c r="J447" s="359"/>
      <c r="K447" s="359"/>
      <c r="L447" s="359"/>
      <c r="M447" s="359"/>
      <c r="N447" s="381"/>
      <c r="O447" s="48"/>
      <c r="P447" s="381"/>
      <c r="Q447" s="48"/>
      <c r="R447" s="381"/>
      <c r="S447" s="196" t="s">
        <v>47</v>
      </c>
      <c r="T447" s="257"/>
      <c r="U447" s="198"/>
      <c r="AD447" s="230"/>
    </row>
    <row r="448" spans="1:30" s="229" customFormat="1" ht="33" customHeight="1" x14ac:dyDescent="0.5">
      <c r="A448" s="258" t="s">
        <v>11</v>
      </c>
      <c r="B448" s="487"/>
      <c r="C448" s="319" t="s">
        <v>234</v>
      </c>
      <c r="D448" s="319" t="s">
        <v>43</v>
      </c>
      <c r="E448" s="397" t="s">
        <v>63</v>
      </c>
      <c r="F448" s="141" t="s">
        <v>102</v>
      </c>
      <c r="G448" s="145">
        <v>0.3125</v>
      </c>
      <c r="H448" s="137">
        <v>0.4375</v>
      </c>
      <c r="I448" s="365">
        <v>0.29791666666666666</v>
      </c>
      <c r="J448" s="365">
        <v>0.30763888888888891</v>
      </c>
      <c r="K448" s="365">
        <v>0.30763888888888891</v>
      </c>
      <c r="L448" s="365">
        <v>0.41666666666666669</v>
      </c>
      <c r="M448" s="365">
        <v>0.41666666666666669</v>
      </c>
      <c r="N448" s="365">
        <f>SUM(M448-J448)</f>
        <v>0.10902777777777778</v>
      </c>
      <c r="O448" s="133" t="s">
        <v>48</v>
      </c>
      <c r="P448" s="104" t="s">
        <v>48</v>
      </c>
      <c r="Q448" s="133" t="s">
        <v>48</v>
      </c>
      <c r="R448" s="104" t="s">
        <v>48</v>
      </c>
      <c r="S448" s="535" t="s">
        <v>330</v>
      </c>
      <c r="T448" s="260"/>
      <c r="U448" s="198"/>
      <c r="AD448" s="230"/>
    </row>
    <row r="449" spans="1:30" s="229" customFormat="1" ht="33" customHeight="1" x14ac:dyDescent="0.5">
      <c r="A449" s="258" t="s">
        <v>162</v>
      </c>
      <c r="B449" s="487"/>
      <c r="C449" s="202"/>
      <c r="D449" s="202"/>
      <c r="E449" s="215"/>
      <c r="F449" s="320"/>
      <c r="G449" s="144"/>
      <c r="H449" s="136"/>
      <c r="I449" s="360"/>
      <c r="J449" s="360"/>
      <c r="K449" s="360"/>
      <c r="L449" s="360"/>
      <c r="M449" s="360"/>
      <c r="N449" s="287"/>
      <c r="O449" s="53"/>
      <c r="P449" s="287"/>
      <c r="Q449" s="53"/>
      <c r="R449" s="287"/>
      <c r="S449" s="242"/>
      <c r="T449" s="260"/>
      <c r="U449" s="198"/>
      <c r="AD449" s="230"/>
    </row>
    <row r="450" spans="1:30" s="229" customFormat="1" ht="33" customHeight="1" x14ac:dyDescent="0.5">
      <c r="A450" s="258"/>
      <c r="B450" s="487"/>
      <c r="C450" s="202" t="s">
        <v>217</v>
      </c>
      <c r="D450" s="202" t="s">
        <v>43</v>
      </c>
      <c r="E450" s="141" t="s">
        <v>102</v>
      </c>
      <c r="F450" s="57" t="s">
        <v>37</v>
      </c>
      <c r="G450" s="144">
        <v>0.46875</v>
      </c>
      <c r="H450" s="136">
        <v>0.47222222222222221</v>
      </c>
      <c r="I450" s="398">
        <v>0.47222222222222221</v>
      </c>
      <c r="J450" s="399">
        <v>0.47708333333333336</v>
      </c>
      <c r="K450" s="365">
        <v>0.47708333333333336</v>
      </c>
      <c r="L450" s="365">
        <v>0.47986111111111113</v>
      </c>
      <c r="M450" s="365">
        <v>0.48125000000000001</v>
      </c>
      <c r="N450" s="365">
        <f t="shared" ref="N450:N452" si="12">SUM(M450-J450)</f>
        <v>4.1666666666666519E-3</v>
      </c>
      <c r="O450" s="133" t="s">
        <v>48</v>
      </c>
      <c r="P450" s="104" t="s">
        <v>48</v>
      </c>
      <c r="Q450" s="53" t="s">
        <v>48</v>
      </c>
      <c r="R450" s="104" t="s">
        <v>48</v>
      </c>
      <c r="S450" s="515" t="s">
        <v>302</v>
      </c>
      <c r="T450" s="260"/>
      <c r="U450" s="198"/>
      <c r="AD450" s="230"/>
    </row>
    <row r="451" spans="1:30" s="229" customFormat="1" ht="33" customHeight="1" x14ac:dyDescent="0.5">
      <c r="A451" s="258"/>
      <c r="B451" s="487"/>
      <c r="C451" s="202"/>
      <c r="D451" s="202"/>
      <c r="E451" s="57" t="s">
        <v>37</v>
      </c>
      <c r="F451" s="57" t="s">
        <v>218</v>
      </c>
      <c r="G451" s="144">
        <v>0.5</v>
      </c>
      <c r="H451" s="136">
        <v>0.53125</v>
      </c>
      <c r="I451" s="398">
        <v>0.49861111111111112</v>
      </c>
      <c r="J451" s="399">
        <v>0.50277777777777777</v>
      </c>
      <c r="K451" s="365">
        <v>0.50624999999999998</v>
      </c>
      <c r="L451" s="365">
        <v>0.53055555555555556</v>
      </c>
      <c r="M451" s="365">
        <v>0.53263888888888888</v>
      </c>
      <c r="N451" s="365">
        <f t="shared" si="12"/>
        <v>2.9861111111111116E-2</v>
      </c>
      <c r="O451" s="53" t="s">
        <v>255</v>
      </c>
      <c r="P451" s="104">
        <v>5</v>
      </c>
      <c r="Q451" s="53" t="s">
        <v>48</v>
      </c>
      <c r="R451" s="104" t="s">
        <v>48</v>
      </c>
      <c r="S451" s="242" t="s">
        <v>252</v>
      </c>
      <c r="T451" s="260"/>
      <c r="U451" s="198"/>
      <c r="AD451" s="230"/>
    </row>
    <row r="452" spans="1:30" s="229" customFormat="1" ht="33" customHeight="1" x14ac:dyDescent="0.5">
      <c r="A452" s="258"/>
      <c r="B452" s="487"/>
      <c r="C452" s="202"/>
      <c r="D452" s="202"/>
      <c r="E452" s="57" t="s">
        <v>218</v>
      </c>
      <c r="F452" s="141" t="s">
        <v>102</v>
      </c>
      <c r="G452" s="514">
        <v>0.55902777777777779</v>
      </c>
      <c r="H452" s="136">
        <v>0.59027777777777779</v>
      </c>
      <c r="I452" s="398">
        <v>0.55277777777777781</v>
      </c>
      <c r="J452" s="399">
        <v>0.55763888888888891</v>
      </c>
      <c r="K452" s="365">
        <v>0.55763888888888891</v>
      </c>
      <c r="L452" s="365">
        <v>0.58194444444444449</v>
      </c>
      <c r="M452" s="365">
        <v>0.58333333333333337</v>
      </c>
      <c r="N452" s="365">
        <f t="shared" si="12"/>
        <v>2.5694444444444464E-2</v>
      </c>
      <c r="O452" s="53">
        <v>1</v>
      </c>
      <c r="P452" s="104" t="s">
        <v>48</v>
      </c>
      <c r="Q452" s="53" t="s">
        <v>48</v>
      </c>
      <c r="R452" s="104" t="s">
        <v>48</v>
      </c>
      <c r="S452" s="242" t="s">
        <v>266</v>
      </c>
      <c r="T452" s="260"/>
      <c r="U452" s="198"/>
      <c r="AD452" s="230"/>
    </row>
    <row r="453" spans="1:30" s="229" customFormat="1" ht="33" customHeight="1" x14ac:dyDescent="0.5">
      <c r="A453" s="258"/>
      <c r="B453" s="487"/>
      <c r="C453" s="202"/>
      <c r="D453" s="202"/>
      <c r="E453" s="57"/>
      <c r="F453" s="510"/>
      <c r="G453" s="511"/>
      <c r="H453" s="137"/>
      <c r="I453" s="380"/>
      <c r="J453" s="380"/>
      <c r="K453" s="360"/>
      <c r="L453" s="360"/>
      <c r="M453" s="360"/>
      <c r="N453" s="287"/>
      <c r="O453" s="53"/>
      <c r="P453" s="287"/>
      <c r="Q453" s="53"/>
      <c r="R453" s="287"/>
      <c r="S453" s="242"/>
      <c r="T453" s="512"/>
      <c r="U453" s="198"/>
      <c r="AD453" s="513"/>
    </row>
    <row r="454" spans="1:30" s="229" customFormat="1" ht="33" customHeight="1" x14ac:dyDescent="0.5">
      <c r="A454" s="258"/>
      <c r="B454" s="487"/>
      <c r="C454" s="400" t="s">
        <v>219</v>
      </c>
      <c r="D454" s="400" t="s">
        <v>43</v>
      </c>
      <c r="E454" s="564" t="s">
        <v>37</v>
      </c>
      <c r="F454" s="565" t="s">
        <v>208</v>
      </c>
      <c r="G454" s="566">
        <v>0.61805555555555558</v>
      </c>
      <c r="H454" s="567">
        <v>0.63888888888888884</v>
      </c>
      <c r="I454" s="568"/>
      <c r="J454" s="569"/>
      <c r="K454" s="404"/>
      <c r="L454" s="404"/>
      <c r="M454" s="404"/>
      <c r="N454" s="404"/>
      <c r="O454" s="521" t="s">
        <v>267</v>
      </c>
      <c r="P454" s="403"/>
      <c r="Q454" s="521" t="s">
        <v>48</v>
      </c>
      <c r="R454" s="403"/>
      <c r="S454" s="571" t="s">
        <v>252</v>
      </c>
      <c r="T454" s="260"/>
      <c r="U454" s="198"/>
      <c r="AD454" s="230"/>
    </row>
    <row r="455" spans="1:30" s="229" customFormat="1" ht="33" customHeight="1" x14ac:dyDescent="0.5">
      <c r="A455" s="258"/>
      <c r="B455" s="487"/>
      <c r="C455" s="202"/>
      <c r="D455" s="202"/>
      <c r="E455" s="564" t="s">
        <v>208</v>
      </c>
      <c r="F455" s="565" t="s">
        <v>37</v>
      </c>
      <c r="G455" s="566">
        <v>0.66666666666666663</v>
      </c>
      <c r="H455" s="567">
        <v>0.6875</v>
      </c>
      <c r="I455" s="568"/>
      <c r="J455" s="569"/>
      <c r="K455" s="404"/>
      <c r="L455" s="404"/>
      <c r="M455" s="404"/>
      <c r="N455" s="404"/>
      <c r="O455" s="521" t="s">
        <v>264</v>
      </c>
      <c r="P455" s="403"/>
      <c r="Q455" s="521" t="s">
        <v>48</v>
      </c>
      <c r="R455" s="403"/>
      <c r="S455" s="571" t="s">
        <v>252</v>
      </c>
      <c r="T455" s="260"/>
      <c r="U455" s="198"/>
      <c r="AD455" s="230"/>
    </row>
    <row r="456" spans="1:30" s="229" customFormat="1" ht="33" customHeight="1" x14ac:dyDescent="0.5">
      <c r="A456" s="258"/>
      <c r="B456" s="487"/>
      <c r="C456" s="202"/>
      <c r="D456" s="202"/>
      <c r="E456" s="564" t="s">
        <v>283</v>
      </c>
      <c r="F456" s="565" t="s">
        <v>102</v>
      </c>
      <c r="G456" s="566">
        <v>0.71527777777777779</v>
      </c>
      <c r="H456" s="570">
        <v>0.71875</v>
      </c>
      <c r="I456" s="404"/>
      <c r="J456" s="404"/>
      <c r="K456" s="404"/>
      <c r="L456" s="404"/>
      <c r="M456" s="404"/>
      <c r="N456" s="404"/>
      <c r="O456" s="521" t="s">
        <v>48</v>
      </c>
      <c r="P456" s="403"/>
      <c r="Q456" s="521" t="s">
        <v>48</v>
      </c>
      <c r="R456" s="403"/>
      <c r="S456" s="571" t="s">
        <v>334</v>
      </c>
      <c r="T456" s="260"/>
      <c r="U456" s="198"/>
      <c r="AD456" s="230"/>
    </row>
    <row r="457" spans="1:30" s="229" customFormat="1" ht="33" customHeight="1" x14ac:dyDescent="0.5">
      <c r="A457" s="258"/>
      <c r="B457" s="487"/>
      <c r="C457" s="202"/>
      <c r="D457" s="202"/>
      <c r="E457" s="215"/>
      <c r="F457" s="320"/>
      <c r="G457" s="144"/>
      <c r="H457" s="167"/>
      <c r="I457" s="360"/>
      <c r="J457" s="360"/>
      <c r="K457" s="360"/>
      <c r="L457" s="360"/>
      <c r="M457" s="360"/>
      <c r="N457" s="287"/>
      <c r="O457" s="53"/>
      <c r="P457" s="287"/>
      <c r="Q457" s="53"/>
      <c r="R457" s="287"/>
      <c r="S457" s="242"/>
      <c r="T457" s="260"/>
      <c r="U457" s="198"/>
      <c r="AD457" s="230"/>
    </row>
    <row r="458" spans="1:30" s="229" customFormat="1" ht="33" customHeight="1" x14ac:dyDescent="0.5">
      <c r="A458" s="258"/>
      <c r="B458" s="487"/>
      <c r="C458" s="202"/>
      <c r="D458" s="202"/>
      <c r="E458" s="259"/>
      <c r="F458" s="321"/>
      <c r="G458" s="138"/>
      <c r="H458" s="138"/>
      <c r="I458" s="360"/>
      <c r="J458" s="360"/>
      <c r="K458" s="360"/>
      <c r="L458" s="360"/>
      <c r="M458" s="360"/>
      <c r="N458" s="287"/>
      <c r="O458" s="53"/>
      <c r="P458" s="287"/>
      <c r="Q458" s="53"/>
      <c r="R458" s="287"/>
      <c r="S458" s="282" t="s">
        <v>79</v>
      </c>
      <c r="T458" s="283"/>
      <c r="U458" s="198"/>
      <c r="AD458" s="230"/>
    </row>
    <row r="459" spans="1:30" s="229" customFormat="1" ht="33" customHeight="1" x14ac:dyDescent="0.5">
      <c r="A459" s="258"/>
      <c r="B459" s="487"/>
      <c r="C459" s="202"/>
      <c r="D459" s="202"/>
      <c r="E459" s="259"/>
      <c r="F459" s="321"/>
      <c r="G459" s="138"/>
      <c r="H459" s="138"/>
      <c r="I459" s="360"/>
      <c r="J459" s="360"/>
      <c r="K459" s="360"/>
      <c r="L459" s="360"/>
      <c r="M459" s="360"/>
      <c r="N459" s="287"/>
      <c r="O459" s="53"/>
      <c r="P459" s="287"/>
      <c r="Q459" s="53"/>
      <c r="R459" s="287"/>
      <c r="S459" s="282" t="s">
        <v>53</v>
      </c>
      <c r="T459" s="283"/>
      <c r="U459" s="198"/>
      <c r="AD459" s="230"/>
    </row>
    <row r="460" spans="1:30" s="229" customFormat="1" ht="33" customHeight="1" x14ac:dyDescent="0.5">
      <c r="A460" s="258"/>
      <c r="B460" s="487"/>
      <c r="C460" s="202"/>
      <c r="D460" s="202"/>
      <c r="E460" s="259"/>
      <c r="F460" s="321"/>
      <c r="G460" s="138"/>
      <c r="H460" s="138"/>
      <c r="I460" s="360"/>
      <c r="J460" s="360"/>
      <c r="K460" s="360"/>
      <c r="L460" s="360"/>
      <c r="M460" s="360"/>
      <c r="N460" s="287"/>
      <c r="O460" s="53"/>
      <c r="P460" s="287"/>
      <c r="Q460" s="53"/>
      <c r="R460" s="287"/>
      <c r="S460" s="282" t="s">
        <v>80</v>
      </c>
      <c r="T460" s="283"/>
      <c r="U460" s="198"/>
      <c r="AD460" s="230"/>
    </row>
    <row r="461" spans="1:30" s="229" customFormat="1" ht="33" customHeight="1" x14ac:dyDescent="0.5">
      <c r="A461" s="258"/>
      <c r="B461" s="487"/>
      <c r="C461" s="202"/>
      <c r="D461" s="202"/>
      <c r="E461" s="259"/>
      <c r="F461" s="321"/>
      <c r="G461" s="138"/>
      <c r="H461" s="138"/>
      <c r="I461" s="360"/>
      <c r="J461" s="360"/>
      <c r="K461" s="360"/>
      <c r="L461" s="360"/>
      <c r="M461" s="360"/>
      <c r="N461" s="287"/>
      <c r="O461" s="53"/>
      <c r="P461" s="287"/>
      <c r="Q461" s="53"/>
      <c r="R461" s="287"/>
      <c r="S461" s="208" t="s">
        <v>81</v>
      </c>
      <c r="T461" s="283"/>
      <c r="U461" s="198"/>
      <c r="AD461" s="230"/>
    </row>
    <row r="462" spans="1:30" s="229" customFormat="1" ht="33" customHeight="1" x14ac:dyDescent="0.5">
      <c r="A462" s="258"/>
      <c r="B462" s="487"/>
      <c r="C462" s="202"/>
      <c r="D462" s="202"/>
      <c r="E462" s="259"/>
      <c r="F462" s="321"/>
      <c r="G462" s="138"/>
      <c r="H462" s="138"/>
      <c r="I462" s="360"/>
      <c r="J462" s="360"/>
      <c r="K462" s="360"/>
      <c r="L462" s="360"/>
      <c r="M462" s="360"/>
      <c r="N462" s="287"/>
      <c r="O462" s="53"/>
      <c r="P462" s="287"/>
      <c r="Q462" s="53"/>
      <c r="R462" s="287"/>
      <c r="S462" s="208" t="s">
        <v>82</v>
      </c>
      <c r="T462" s="283"/>
      <c r="U462" s="198"/>
      <c r="AD462" s="230"/>
    </row>
    <row r="463" spans="1:30" s="229" customFormat="1" ht="33" customHeight="1" x14ac:dyDescent="0.5">
      <c r="A463" s="258"/>
      <c r="B463" s="487"/>
      <c r="C463" s="202"/>
      <c r="D463" s="202"/>
      <c r="E463" s="259"/>
      <c r="F463" s="321"/>
      <c r="G463" s="138"/>
      <c r="H463" s="138"/>
      <c r="I463" s="360"/>
      <c r="J463" s="360"/>
      <c r="K463" s="360"/>
      <c r="L463" s="360"/>
      <c r="M463" s="360"/>
      <c r="N463" s="287"/>
      <c r="O463" s="53"/>
      <c r="P463" s="287"/>
      <c r="Q463" s="53"/>
      <c r="R463" s="287"/>
      <c r="S463" s="208" t="s">
        <v>187</v>
      </c>
      <c r="T463" s="283"/>
      <c r="U463" s="198"/>
      <c r="AD463" s="230"/>
    </row>
    <row r="464" spans="1:30" s="229" customFormat="1" ht="33" customHeight="1" x14ac:dyDescent="0.5">
      <c r="A464" s="258"/>
      <c r="B464" s="487"/>
      <c r="C464" s="202"/>
      <c r="D464" s="202"/>
      <c r="E464" s="259"/>
      <c r="F464" s="321"/>
      <c r="G464" s="138"/>
      <c r="H464" s="138"/>
      <c r="I464" s="360"/>
      <c r="J464" s="360"/>
      <c r="K464" s="360"/>
      <c r="L464" s="360"/>
      <c r="M464" s="360"/>
      <c r="N464" s="287"/>
      <c r="O464" s="53"/>
      <c r="P464" s="287"/>
      <c r="Q464" s="53"/>
      <c r="R464" s="287"/>
      <c r="S464" s="242"/>
      <c r="T464" s="260"/>
      <c r="U464" s="198"/>
      <c r="AD464" s="230"/>
    </row>
    <row r="465" spans="1:36" s="229" customFormat="1" ht="33" customHeight="1" x14ac:dyDescent="0.5">
      <c r="A465" s="258"/>
      <c r="B465" s="487"/>
      <c r="C465" s="202"/>
      <c r="D465" s="202"/>
      <c r="E465" s="259"/>
      <c r="F465" s="321"/>
      <c r="G465" s="138"/>
      <c r="H465" s="138"/>
      <c r="I465" s="360"/>
      <c r="J465" s="360"/>
      <c r="K465" s="360"/>
      <c r="L465" s="360"/>
      <c r="M465" s="360"/>
      <c r="N465" s="287"/>
      <c r="O465" s="53"/>
      <c r="P465" s="287"/>
      <c r="Q465" s="53"/>
      <c r="R465" s="287"/>
      <c r="S465" s="184" t="s">
        <v>189</v>
      </c>
      <c r="T465" s="260" t="s">
        <v>190</v>
      </c>
      <c r="U465" s="198"/>
      <c r="AD465" s="230"/>
    </row>
    <row r="466" spans="1:36" s="229" customFormat="1" ht="33" customHeight="1" x14ac:dyDescent="0.5">
      <c r="A466" s="258"/>
      <c r="B466" s="487"/>
      <c r="C466" s="202"/>
      <c r="D466" s="202"/>
      <c r="E466" s="259"/>
      <c r="F466" s="321"/>
      <c r="G466" s="138"/>
      <c r="H466" s="138"/>
      <c r="I466" s="360"/>
      <c r="J466" s="360"/>
      <c r="K466" s="360"/>
      <c r="L466" s="360"/>
      <c r="M466" s="360"/>
      <c r="N466" s="287"/>
      <c r="O466" s="53"/>
      <c r="P466" s="287"/>
      <c r="Q466" s="53"/>
      <c r="R466" s="287"/>
      <c r="S466" s="184" t="s">
        <v>194</v>
      </c>
      <c r="T466" s="260" t="s">
        <v>190</v>
      </c>
      <c r="U466" s="198"/>
      <c r="AD466" s="230"/>
    </row>
    <row r="467" spans="1:36" s="229" customFormat="1" ht="33" customHeight="1" x14ac:dyDescent="0.5">
      <c r="A467" s="258"/>
      <c r="B467" s="487"/>
      <c r="C467" s="202"/>
      <c r="D467" s="202"/>
      <c r="E467" s="259"/>
      <c r="F467" s="321"/>
      <c r="G467" s="138"/>
      <c r="H467" s="138"/>
      <c r="I467" s="360"/>
      <c r="J467" s="360"/>
      <c r="K467" s="360"/>
      <c r="L467" s="360"/>
      <c r="M467" s="360"/>
      <c r="N467" s="287"/>
      <c r="O467" s="53"/>
      <c r="P467" s="287"/>
      <c r="Q467" s="53"/>
      <c r="R467" s="287"/>
      <c r="S467" s="184" t="s">
        <v>207</v>
      </c>
      <c r="T467" s="260" t="s">
        <v>190</v>
      </c>
      <c r="U467" s="198"/>
      <c r="AD467" s="230"/>
    </row>
    <row r="468" spans="1:36" s="229" customFormat="1" ht="33" customHeight="1" x14ac:dyDescent="0.5">
      <c r="A468" s="258"/>
      <c r="B468" s="487"/>
      <c r="C468" s="202"/>
      <c r="D468" s="202"/>
      <c r="E468" s="259"/>
      <c r="F468" s="321"/>
      <c r="G468" s="138"/>
      <c r="H468" s="138"/>
      <c r="I468" s="360"/>
      <c r="J468" s="360"/>
      <c r="K468" s="360"/>
      <c r="L468" s="360"/>
      <c r="M468" s="360"/>
      <c r="N468" s="287"/>
      <c r="O468" s="53"/>
      <c r="P468" s="287"/>
      <c r="Q468" s="53"/>
      <c r="R468" s="287"/>
      <c r="S468" s="580" t="s">
        <v>209</v>
      </c>
      <c r="T468" s="316" t="s">
        <v>190</v>
      </c>
      <c r="U468" s="198"/>
      <c r="AD468" s="230"/>
    </row>
    <row r="469" spans="1:36" s="229" customFormat="1" ht="33" customHeight="1" x14ac:dyDescent="0.5">
      <c r="A469" s="258"/>
      <c r="B469" s="487"/>
      <c r="C469" s="202"/>
      <c r="D469" s="202"/>
      <c r="E469" s="259"/>
      <c r="F469" s="321"/>
      <c r="G469" s="138"/>
      <c r="H469" s="138"/>
      <c r="I469" s="360"/>
      <c r="J469" s="360"/>
      <c r="K469" s="360"/>
      <c r="L469" s="360"/>
      <c r="M469" s="360"/>
      <c r="N469" s="287"/>
      <c r="O469" s="53"/>
      <c r="P469" s="287"/>
      <c r="Q469" s="53"/>
      <c r="R469" s="287"/>
      <c r="S469" s="242"/>
      <c r="T469" s="260"/>
      <c r="U469" s="198"/>
      <c r="AD469" s="230"/>
    </row>
    <row r="470" spans="1:36" s="229" customFormat="1" ht="33" customHeight="1" x14ac:dyDescent="0.5">
      <c r="A470" s="258"/>
      <c r="B470" s="487"/>
      <c r="C470" s="202"/>
      <c r="D470" s="202"/>
      <c r="E470" s="259"/>
      <c r="F470" s="321"/>
      <c r="G470" s="138"/>
      <c r="H470" s="138"/>
      <c r="I470" s="360"/>
      <c r="J470" s="360"/>
      <c r="K470" s="360"/>
      <c r="L470" s="360"/>
      <c r="M470" s="360"/>
      <c r="N470" s="287"/>
      <c r="O470" s="53"/>
      <c r="P470" s="287"/>
      <c r="Q470" s="53"/>
      <c r="R470" s="287"/>
      <c r="S470" s="184" t="s">
        <v>96</v>
      </c>
      <c r="T470" s="134"/>
      <c r="U470" s="198"/>
      <c r="AD470" s="230"/>
    </row>
    <row r="471" spans="1:36" s="229" customFormat="1" ht="33" customHeight="1" x14ac:dyDescent="0.5">
      <c r="A471" s="258"/>
      <c r="B471" s="487"/>
      <c r="C471" s="202"/>
      <c r="D471" s="202"/>
      <c r="E471" s="259"/>
      <c r="F471" s="321"/>
      <c r="G471" s="138"/>
      <c r="H471" s="138"/>
      <c r="I471" s="360"/>
      <c r="J471" s="360"/>
      <c r="K471" s="360"/>
      <c r="L471" s="360"/>
      <c r="M471" s="360"/>
      <c r="N471" s="287"/>
      <c r="O471" s="53"/>
      <c r="P471" s="287"/>
      <c r="Q471" s="53"/>
      <c r="R471" s="287"/>
      <c r="S471" s="242"/>
      <c r="T471" s="260"/>
      <c r="U471" s="198"/>
      <c r="AD471" s="230"/>
    </row>
    <row r="472" spans="1:36" s="229" customFormat="1" ht="33" customHeight="1" x14ac:dyDescent="0.5">
      <c r="A472" s="258"/>
      <c r="B472" s="487"/>
      <c r="C472" s="202"/>
      <c r="D472" s="202"/>
      <c r="E472" s="259"/>
      <c r="F472" s="321"/>
      <c r="G472" s="138"/>
      <c r="H472" s="138"/>
      <c r="I472" s="360"/>
      <c r="J472" s="360"/>
      <c r="K472" s="360"/>
      <c r="L472" s="360"/>
      <c r="M472" s="360"/>
      <c r="N472" s="287"/>
      <c r="O472" s="53"/>
      <c r="P472" s="287"/>
      <c r="Q472" s="53"/>
      <c r="R472" s="287"/>
      <c r="S472" s="184" t="s">
        <v>126</v>
      </c>
      <c r="T472" s="260"/>
      <c r="U472" s="198"/>
      <c r="AD472" s="230"/>
    </row>
    <row r="473" spans="1:36" s="229" customFormat="1" ht="33" customHeight="1" x14ac:dyDescent="0.5">
      <c r="A473" s="258"/>
      <c r="B473" s="487"/>
      <c r="C473" s="202"/>
      <c r="D473" s="202"/>
      <c r="E473" s="259"/>
      <c r="F473" s="321"/>
      <c r="G473" s="138"/>
      <c r="H473" s="138"/>
      <c r="I473" s="360"/>
      <c r="J473" s="360"/>
      <c r="K473" s="360"/>
      <c r="L473" s="360"/>
      <c r="M473" s="360"/>
      <c r="N473" s="287"/>
      <c r="O473" s="53"/>
      <c r="P473" s="287"/>
      <c r="Q473" s="53"/>
      <c r="R473" s="287"/>
      <c r="S473" s="184" t="s">
        <v>220</v>
      </c>
      <c r="T473" s="534" t="s">
        <v>317</v>
      </c>
      <c r="U473" s="198"/>
      <c r="AD473" s="230"/>
    </row>
    <row r="474" spans="1:36" s="229" customFormat="1" ht="33" customHeight="1" x14ac:dyDescent="0.5">
      <c r="A474" s="258"/>
      <c r="B474" s="487"/>
      <c r="C474" s="202"/>
      <c r="D474" s="202"/>
      <c r="E474" s="259"/>
      <c r="F474" s="321"/>
      <c r="G474" s="138"/>
      <c r="H474" s="138"/>
      <c r="I474" s="360"/>
      <c r="J474" s="360"/>
      <c r="K474" s="360"/>
      <c r="L474" s="360"/>
      <c r="M474" s="360"/>
      <c r="N474" s="287"/>
      <c r="O474" s="53"/>
      <c r="P474" s="287"/>
      <c r="Q474" s="53"/>
      <c r="R474" s="287"/>
      <c r="S474" s="184" t="s">
        <v>221</v>
      </c>
      <c r="T474" s="134" t="s">
        <v>329</v>
      </c>
      <c r="U474" s="198"/>
      <c r="AD474" s="230"/>
    </row>
    <row r="475" spans="1:36" s="229" customFormat="1" ht="33" customHeight="1" x14ac:dyDescent="0.5">
      <c r="A475" s="258"/>
      <c r="B475" s="487"/>
      <c r="C475" s="202"/>
      <c r="D475" s="202"/>
      <c r="E475" s="259"/>
      <c r="F475" s="321"/>
      <c r="G475" s="138"/>
      <c r="H475" s="138"/>
      <c r="I475" s="360"/>
      <c r="J475" s="360"/>
      <c r="K475" s="360"/>
      <c r="L475" s="360"/>
      <c r="M475" s="360"/>
      <c r="N475" s="287"/>
      <c r="O475" s="53"/>
      <c r="P475" s="287"/>
      <c r="Q475" s="53"/>
      <c r="R475" s="287"/>
      <c r="S475" s="580" t="s">
        <v>340</v>
      </c>
      <c r="T475" s="581" t="s">
        <v>341</v>
      </c>
      <c r="U475" s="198"/>
      <c r="AD475" s="230"/>
    </row>
    <row r="476" spans="1:36" s="229" customFormat="1" ht="33" customHeight="1" x14ac:dyDescent="0.5">
      <c r="A476" s="258"/>
      <c r="B476" s="487"/>
      <c r="C476" s="202"/>
      <c r="D476" s="202"/>
      <c r="E476" s="259"/>
      <c r="F476" s="321"/>
      <c r="G476" s="138"/>
      <c r="H476" s="138"/>
      <c r="I476" s="360"/>
      <c r="J476" s="360"/>
      <c r="K476" s="360"/>
      <c r="L476" s="360"/>
      <c r="M476" s="360"/>
      <c r="N476" s="287"/>
      <c r="O476" s="53"/>
      <c r="P476" s="287"/>
      <c r="Q476" s="53"/>
      <c r="R476" s="287"/>
      <c r="S476" s="242"/>
      <c r="T476" s="260"/>
      <c r="U476" s="198"/>
      <c r="AD476" s="230"/>
    </row>
    <row r="477" spans="1:36" s="229" customFormat="1" ht="33" customHeight="1" x14ac:dyDescent="0.5">
      <c r="A477" s="258"/>
      <c r="B477" s="487"/>
      <c r="C477" s="202"/>
      <c r="D477" s="202"/>
      <c r="E477" s="259"/>
      <c r="F477" s="321"/>
      <c r="G477" s="139"/>
      <c r="H477" s="142"/>
      <c r="I477" s="374"/>
      <c r="J477" s="374"/>
      <c r="K477" s="374"/>
      <c r="L477" s="374"/>
      <c r="M477" s="369"/>
      <c r="N477" s="369"/>
      <c r="O477" s="14"/>
      <c r="P477" s="286"/>
      <c r="Q477" s="14"/>
      <c r="R477" s="286"/>
      <c r="S477" s="216" t="s">
        <v>0</v>
      </c>
      <c r="T477" s="217">
        <f xml:space="preserve"> SUM(H447:H453)-SUM($G447:$G453)</f>
        <v>0.19097222222222232</v>
      </c>
      <c r="U477" s="291"/>
      <c r="AD477" s="230"/>
    </row>
    <row r="478" spans="1:36" s="229" customFormat="1" ht="33" customHeight="1" thickBot="1" x14ac:dyDescent="0.55000000000000004">
      <c r="A478" s="263"/>
      <c r="B478" s="488"/>
      <c r="C478" s="220"/>
      <c r="D478" s="220"/>
      <c r="E478" s="322"/>
      <c r="F478" s="323"/>
      <c r="G478" s="140"/>
      <c r="H478" s="143"/>
      <c r="I478" s="375"/>
      <c r="J478" s="375"/>
      <c r="K478" s="375"/>
      <c r="L478" s="375"/>
      <c r="M478" s="362"/>
      <c r="N478" s="362"/>
      <c r="O478" s="64"/>
      <c r="P478" s="289"/>
      <c r="Q478" s="64"/>
      <c r="R478" s="289"/>
      <c r="S478" s="222" t="s">
        <v>4</v>
      </c>
      <c r="T478" s="223">
        <f xml:space="preserve"> SUM(M447:M478)-SUM($J447:$J478)</f>
        <v>0.16874999999999973</v>
      </c>
      <c r="U478" s="291"/>
      <c r="AD478" s="230"/>
    </row>
    <row r="479" spans="1:36" s="326" customFormat="1" ht="33" customHeight="1" x14ac:dyDescent="0.5">
      <c r="A479" s="324" t="s">
        <v>13</v>
      </c>
      <c r="B479" s="507" t="s">
        <v>1</v>
      </c>
      <c r="C479" s="325"/>
      <c r="D479" s="325"/>
      <c r="E479" s="226"/>
      <c r="F479" s="226"/>
      <c r="G479" s="113"/>
      <c r="H479" s="113"/>
      <c r="I479" s="359"/>
      <c r="J479" s="359"/>
      <c r="K479" s="359"/>
      <c r="L479" s="359"/>
      <c r="M479" s="359"/>
      <c r="N479" s="381"/>
      <c r="O479" s="114"/>
      <c r="P479" s="381"/>
      <c r="Q479" s="114"/>
      <c r="R479" s="381"/>
      <c r="S479" s="196" t="s">
        <v>47</v>
      </c>
      <c r="T479" s="228"/>
      <c r="U479" s="198"/>
      <c r="AD479" s="327"/>
      <c r="AF479" s="328" t="s">
        <v>35</v>
      </c>
      <c r="AG479" s="328" t="s">
        <v>39</v>
      </c>
      <c r="AH479" s="329">
        <v>0.3125</v>
      </c>
      <c r="AI479" s="329"/>
      <c r="AJ479" s="330">
        <f>AH479+150*"0:1:0"</f>
        <v>0.41666666666666669</v>
      </c>
    </row>
    <row r="480" spans="1:36" s="326" customFormat="1" ht="33" customHeight="1" x14ac:dyDescent="0.5">
      <c r="A480" s="331" t="s">
        <v>5</v>
      </c>
      <c r="B480" s="508"/>
      <c r="C480" s="232" t="s">
        <v>52</v>
      </c>
      <c r="D480" s="232" t="s">
        <v>43</v>
      </c>
      <c r="E480" s="47" t="s">
        <v>35</v>
      </c>
      <c r="F480" s="47" t="s">
        <v>37</v>
      </c>
      <c r="G480" s="110">
        <v>0.33333333333333331</v>
      </c>
      <c r="H480" s="110">
        <f>G480+150*"0:1:0"</f>
        <v>0.4375</v>
      </c>
      <c r="I480" s="366">
        <v>0.31944444444444442</v>
      </c>
      <c r="J480" s="366">
        <v>0.31944444444444442</v>
      </c>
      <c r="K480" s="366">
        <v>0.32777777777777778</v>
      </c>
      <c r="L480" s="366">
        <v>0.42499999999999999</v>
      </c>
      <c r="M480" s="366">
        <v>0.42777777777777776</v>
      </c>
      <c r="N480" s="365">
        <f t="shared" ref="N480:N481" si="13">SUM(M480-J480)</f>
        <v>0.10833333333333334</v>
      </c>
      <c r="O480" s="45" t="s">
        <v>48</v>
      </c>
      <c r="P480" s="106" t="s">
        <v>48</v>
      </c>
      <c r="Q480" s="45">
        <v>1500</v>
      </c>
      <c r="R480" s="106">
        <v>1398</v>
      </c>
      <c r="S480" s="235" t="s">
        <v>271</v>
      </c>
      <c r="T480" s="236"/>
      <c r="U480" s="198"/>
      <c r="AD480" s="327"/>
      <c r="AF480" s="328"/>
      <c r="AG480" s="328"/>
      <c r="AH480" s="329"/>
      <c r="AI480" s="329"/>
      <c r="AJ480" s="330"/>
    </row>
    <row r="481" spans="1:36" s="326" customFormat="1" ht="33" customHeight="1" x14ac:dyDescent="0.5">
      <c r="A481" s="331" t="s">
        <v>68</v>
      </c>
      <c r="B481" s="508"/>
      <c r="C481" s="232"/>
      <c r="D481" s="232"/>
      <c r="E481" s="47" t="s">
        <v>37</v>
      </c>
      <c r="F481" s="47" t="s">
        <v>35</v>
      </c>
      <c r="G481" s="110">
        <f>H480+45*"0:1:0"</f>
        <v>0.46875</v>
      </c>
      <c r="H481" s="110">
        <f>G481+150*"0:1:0"</f>
        <v>0.57291666666666663</v>
      </c>
      <c r="I481" s="366">
        <v>0.4375</v>
      </c>
      <c r="J481" s="366">
        <v>0.4375</v>
      </c>
      <c r="K481" s="366">
        <v>0.44722222222222224</v>
      </c>
      <c r="L481" s="366">
        <v>0.55486111111111114</v>
      </c>
      <c r="M481" s="366">
        <v>0.55902777777777779</v>
      </c>
      <c r="N481" s="365">
        <f t="shared" si="13"/>
        <v>0.12152777777777779</v>
      </c>
      <c r="O481" s="45" t="s">
        <v>48</v>
      </c>
      <c r="P481" s="106" t="s">
        <v>48</v>
      </c>
      <c r="Q481" s="45" t="s">
        <v>48</v>
      </c>
      <c r="R481" s="106" t="s">
        <v>48</v>
      </c>
      <c r="S481" s="235" t="s">
        <v>192</v>
      </c>
      <c r="T481" s="236"/>
      <c r="U481" s="198"/>
      <c r="AD481" s="327"/>
      <c r="AF481" s="328"/>
      <c r="AG481" s="328"/>
      <c r="AH481" s="329"/>
      <c r="AI481" s="329"/>
      <c r="AJ481" s="330"/>
    </row>
    <row r="482" spans="1:36" s="326" customFormat="1" ht="33" customHeight="1" x14ac:dyDescent="0.5">
      <c r="A482" s="331"/>
      <c r="B482" s="508"/>
      <c r="C482" s="232"/>
      <c r="D482" s="232"/>
      <c r="E482" s="234"/>
      <c r="F482" s="234"/>
      <c r="G482" s="110"/>
      <c r="H482" s="110"/>
      <c r="I482" s="361"/>
      <c r="J482" s="361"/>
      <c r="K482" s="361"/>
      <c r="L482" s="361"/>
      <c r="M482" s="361"/>
      <c r="N482" s="361"/>
      <c r="O482" s="45"/>
      <c r="P482" s="286"/>
      <c r="Q482" s="45"/>
      <c r="R482" s="286"/>
      <c r="S482" s="235"/>
      <c r="T482" s="236"/>
      <c r="U482" s="198"/>
      <c r="AD482" s="327"/>
      <c r="AF482" s="328"/>
      <c r="AG482" s="328"/>
      <c r="AH482" s="329"/>
      <c r="AI482" s="329"/>
      <c r="AJ482" s="330"/>
    </row>
    <row r="483" spans="1:36" s="326" customFormat="1" ht="33" customHeight="1" x14ac:dyDescent="0.5">
      <c r="A483" s="331"/>
      <c r="B483" s="508"/>
      <c r="C483" s="332"/>
      <c r="D483" s="332"/>
      <c r="E483" s="333"/>
      <c r="F483" s="333"/>
      <c r="G483" s="108"/>
      <c r="H483" s="108"/>
      <c r="I483" s="360"/>
      <c r="J483" s="360"/>
      <c r="K483" s="360"/>
      <c r="L483" s="360"/>
      <c r="M483" s="360"/>
      <c r="N483" s="287"/>
      <c r="O483" s="87"/>
      <c r="P483" s="287"/>
      <c r="Q483" s="87"/>
      <c r="R483" s="287"/>
      <c r="S483" s="146" t="s">
        <v>73</v>
      </c>
      <c r="T483" s="237"/>
      <c r="U483" s="198"/>
      <c r="AD483" s="327"/>
      <c r="AF483" s="328"/>
      <c r="AG483" s="328"/>
      <c r="AH483" s="329"/>
      <c r="AI483" s="329"/>
      <c r="AJ483" s="330"/>
    </row>
    <row r="484" spans="1:36" s="326" customFormat="1" ht="33" customHeight="1" x14ac:dyDescent="0.5">
      <c r="A484" s="331"/>
      <c r="B484" s="508"/>
      <c r="C484" s="332"/>
      <c r="D484" s="332"/>
      <c r="E484" s="333"/>
      <c r="F484" s="333"/>
      <c r="G484" s="108"/>
      <c r="H484" s="108"/>
      <c r="I484" s="360"/>
      <c r="J484" s="360"/>
      <c r="K484" s="360"/>
      <c r="L484" s="360"/>
      <c r="M484" s="360"/>
      <c r="N484" s="287"/>
      <c r="O484" s="87"/>
      <c r="P484" s="287"/>
      <c r="Q484" s="87"/>
      <c r="R484" s="287"/>
      <c r="S484" s="207" t="s">
        <v>74</v>
      </c>
      <c r="T484" s="238"/>
      <c r="U484" s="198"/>
      <c r="AD484" s="327"/>
      <c r="AF484" s="328"/>
      <c r="AG484" s="328"/>
      <c r="AH484" s="329"/>
      <c r="AI484" s="329"/>
      <c r="AJ484" s="330"/>
    </row>
    <row r="485" spans="1:36" s="326" customFormat="1" ht="33" customHeight="1" x14ac:dyDescent="0.5">
      <c r="A485" s="331"/>
      <c r="B485" s="508"/>
      <c r="C485" s="332"/>
      <c r="D485" s="332"/>
      <c r="E485" s="333"/>
      <c r="F485" s="333"/>
      <c r="G485" s="108"/>
      <c r="H485" s="108"/>
      <c r="I485" s="360"/>
      <c r="J485" s="360"/>
      <c r="K485" s="360"/>
      <c r="L485" s="360"/>
      <c r="M485" s="360"/>
      <c r="N485" s="287"/>
      <c r="O485" s="87"/>
      <c r="P485" s="287"/>
      <c r="Q485" s="87"/>
      <c r="R485" s="287"/>
      <c r="S485" s="207" t="s">
        <v>75</v>
      </c>
      <c r="T485" s="238"/>
      <c r="U485" s="198"/>
      <c r="AD485" s="327"/>
      <c r="AF485" s="328"/>
      <c r="AG485" s="328"/>
      <c r="AH485" s="329"/>
      <c r="AI485" s="329"/>
      <c r="AJ485" s="330"/>
    </row>
    <row r="486" spans="1:36" s="326" customFormat="1" ht="33" customHeight="1" x14ac:dyDescent="0.5">
      <c r="A486" s="331"/>
      <c r="B486" s="508"/>
      <c r="C486" s="332"/>
      <c r="D486" s="332"/>
      <c r="E486" s="333"/>
      <c r="F486" s="333"/>
      <c r="G486" s="108"/>
      <c r="H486" s="108"/>
      <c r="I486" s="360"/>
      <c r="J486" s="360"/>
      <c r="K486" s="360"/>
      <c r="L486" s="360"/>
      <c r="M486" s="360"/>
      <c r="N486" s="287"/>
      <c r="O486" s="87"/>
      <c r="P486" s="287"/>
      <c r="Q486" s="87"/>
      <c r="R486" s="287"/>
      <c r="S486" s="208" t="s">
        <v>76</v>
      </c>
      <c r="T486" s="238"/>
      <c r="U486" s="198"/>
      <c r="AD486" s="327"/>
      <c r="AF486" s="328"/>
      <c r="AG486" s="328"/>
      <c r="AH486" s="329"/>
      <c r="AI486" s="329"/>
      <c r="AJ486" s="330"/>
    </row>
    <row r="487" spans="1:36" s="326" customFormat="1" ht="33" customHeight="1" x14ac:dyDescent="0.5">
      <c r="A487" s="331"/>
      <c r="B487" s="508"/>
      <c r="C487" s="332"/>
      <c r="D487" s="332"/>
      <c r="E487" s="333"/>
      <c r="F487" s="333"/>
      <c r="G487" s="108"/>
      <c r="H487" s="108"/>
      <c r="I487" s="360"/>
      <c r="J487" s="360"/>
      <c r="K487" s="360"/>
      <c r="L487" s="360"/>
      <c r="M487" s="360"/>
      <c r="N487" s="287"/>
      <c r="O487" s="87"/>
      <c r="P487" s="287"/>
      <c r="Q487" s="87"/>
      <c r="R487" s="287"/>
      <c r="S487" s="209" t="s">
        <v>77</v>
      </c>
      <c r="T487" s="238"/>
      <c r="U487" s="198"/>
      <c r="AD487" s="327"/>
      <c r="AF487" s="328"/>
      <c r="AG487" s="328"/>
      <c r="AH487" s="329"/>
      <c r="AI487" s="329"/>
      <c r="AJ487" s="330"/>
    </row>
    <row r="488" spans="1:36" s="326" customFormat="1" ht="33" customHeight="1" x14ac:dyDescent="0.5">
      <c r="A488" s="331"/>
      <c r="B488" s="508"/>
      <c r="C488" s="332"/>
      <c r="D488" s="332"/>
      <c r="E488" s="333"/>
      <c r="F488" s="333"/>
      <c r="G488" s="108"/>
      <c r="H488" s="108"/>
      <c r="I488" s="360"/>
      <c r="J488" s="360"/>
      <c r="K488" s="360"/>
      <c r="L488" s="360"/>
      <c r="M488" s="360"/>
      <c r="N488" s="287"/>
      <c r="O488" s="87"/>
      <c r="P488" s="287"/>
      <c r="Q488" s="87"/>
      <c r="R488" s="287"/>
      <c r="S488" s="209" t="s">
        <v>78</v>
      </c>
      <c r="T488" s="238"/>
      <c r="U488" s="198"/>
      <c r="AD488" s="327"/>
      <c r="AF488" s="328"/>
      <c r="AG488" s="328"/>
      <c r="AH488" s="329"/>
      <c r="AI488" s="329"/>
      <c r="AJ488" s="330"/>
    </row>
    <row r="489" spans="1:36" s="326" customFormat="1" ht="33" customHeight="1" x14ac:dyDescent="0.5">
      <c r="A489" s="331"/>
      <c r="B489" s="508"/>
      <c r="C489" s="332"/>
      <c r="D489" s="332"/>
      <c r="E489" s="333"/>
      <c r="F489" s="333"/>
      <c r="G489" s="108"/>
      <c r="H489" s="108"/>
      <c r="I489" s="360"/>
      <c r="J489" s="360"/>
      <c r="K489" s="360"/>
      <c r="L489" s="360"/>
      <c r="M489" s="360"/>
      <c r="N489" s="287"/>
      <c r="O489" s="87"/>
      <c r="P489" s="287"/>
      <c r="Q489" s="87"/>
      <c r="R489" s="287"/>
      <c r="S489" s="208" t="s">
        <v>168</v>
      </c>
      <c r="T489" s="239"/>
      <c r="U489" s="198"/>
      <c r="AD489" s="327"/>
      <c r="AF489" s="328"/>
      <c r="AG489" s="328"/>
      <c r="AH489" s="329"/>
      <c r="AI489" s="329"/>
      <c r="AJ489" s="330"/>
    </row>
    <row r="490" spans="1:36" s="326" customFormat="1" ht="33" customHeight="1" x14ac:dyDescent="0.5">
      <c r="A490" s="331"/>
      <c r="B490" s="508"/>
      <c r="C490" s="332"/>
      <c r="D490" s="332"/>
      <c r="E490" s="333"/>
      <c r="F490" s="333"/>
      <c r="G490" s="108"/>
      <c r="H490" s="108"/>
      <c r="I490" s="360"/>
      <c r="J490" s="360"/>
      <c r="K490" s="360"/>
      <c r="L490" s="360"/>
      <c r="M490" s="360"/>
      <c r="N490" s="287"/>
      <c r="O490" s="87"/>
      <c r="P490" s="287"/>
      <c r="Q490" s="87"/>
      <c r="R490" s="287"/>
      <c r="S490" s="210" t="s">
        <v>169</v>
      </c>
      <c r="T490" s="239"/>
      <c r="U490" s="198"/>
      <c r="AD490" s="327"/>
      <c r="AF490" s="328"/>
      <c r="AG490" s="328"/>
      <c r="AH490" s="329"/>
      <c r="AI490" s="329"/>
      <c r="AJ490" s="330"/>
    </row>
    <row r="491" spans="1:36" s="326" customFormat="1" ht="33" customHeight="1" x14ac:dyDescent="0.5">
      <c r="A491" s="331"/>
      <c r="B491" s="508"/>
      <c r="C491" s="332"/>
      <c r="D491" s="332"/>
      <c r="E491" s="333"/>
      <c r="F491" s="333"/>
      <c r="G491" s="108"/>
      <c r="H491" s="108"/>
      <c r="I491" s="360"/>
      <c r="J491" s="360"/>
      <c r="K491" s="360"/>
      <c r="L491" s="360"/>
      <c r="M491" s="360"/>
      <c r="N491" s="287"/>
      <c r="O491" s="87"/>
      <c r="P491" s="287"/>
      <c r="Q491" s="87"/>
      <c r="R491" s="287"/>
      <c r="S491" s="210" t="s">
        <v>170</v>
      </c>
      <c r="T491" s="239"/>
      <c r="U491" s="198"/>
      <c r="AD491" s="327"/>
      <c r="AF491" s="328"/>
      <c r="AG491" s="328"/>
      <c r="AH491" s="329"/>
      <c r="AI491" s="329"/>
      <c r="AJ491" s="330"/>
    </row>
    <row r="492" spans="1:36" s="326" customFormat="1" ht="33" customHeight="1" x14ac:dyDescent="0.5">
      <c r="A492" s="331"/>
      <c r="B492" s="508"/>
      <c r="C492" s="332"/>
      <c r="D492" s="332"/>
      <c r="E492" s="333"/>
      <c r="F492" s="333"/>
      <c r="G492" s="108"/>
      <c r="H492" s="108"/>
      <c r="I492" s="360"/>
      <c r="J492" s="360"/>
      <c r="K492" s="360"/>
      <c r="L492" s="360"/>
      <c r="M492" s="360"/>
      <c r="N492" s="287"/>
      <c r="O492" s="87"/>
      <c r="P492" s="287"/>
      <c r="Q492" s="87"/>
      <c r="R492" s="287"/>
      <c r="S492" s="210" t="s">
        <v>171</v>
      </c>
      <c r="T492" s="239"/>
      <c r="U492" s="198"/>
      <c r="AD492" s="327"/>
      <c r="AF492" s="328"/>
      <c r="AG492" s="328"/>
      <c r="AH492" s="329"/>
      <c r="AI492" s="329"/>
      <c r="AJ492" s="330"/>
    </row>
    <row r="493" spans="1:36" s="326" customFormat="1" ht="33" customHeight="1" x14ac:dyDescent="0.5">
      <c r="A493" s="331"/>
      <c r="B493" s="508"/>
      <c r="C493" s="332"/>
      <c r="D493" s="332"/>
      <c r="E493" s="333"/>
      <c r="F493" s="333"/>
      <c r="G493" s="108"/>
      <c r="H493" s="108"/>
      <c r="I493" s="360"/>
      <c r="J493" s="360"/>
      <c r="K493" s="360"/>
      <c r="L493" s="360"/>
      <c r="M493" s="360"/>
      <c r="N493" s="287"/>
      <c r="O493" s="87"/>
      <c r="P493" s="287"/>
      <c r="Q493" s="87"/>
      <c r="R493" s="287"/>
      <c r="S493" s="211" t="s">
        <v>175</v>
      </c>
      <c r="T493" s="240"/>
      <c r="U493" s="198"/>
      <c r="AD493" s="327"/>
      <c r="AF493" s="328"/>
      <c r="AG493" s="328"/>
      <c r="AH493" s="329"/>
      <c r="AI493" s="329"/>
      <c r="AJ493" s="330"/>
    </row>
    <row r="494" spans="1:36" s="326" customFormat="1" ht="33" customHeight="1" x14ac:dyDescent="0.5">
      <c r="A494" s="331"/>
      <c r="B494" s="508"/>
      <c r="C494" s="332"/>
      <c r="D494" s="332"/>
      <c r="E494" s="333"/>
      <c r="F494" s="333"/>
      <c r="G494" s="108"/>
      <c r="H494" s="108"/>
      <c r="I494" s="360"/>
      <c r="J494" s="360"/>
      <c r="K494" s="360"/>
      <c r="L494" s="360"/>
      <c r="M494" s="360"/>
      <c r="N494" s="287"/>
      <c r="O494" s="87"/>
      <c r="P494" s="287"/>
      <c r="Q494" s="87"/>
      <c r="R494" s="287"/>
      <c r="S494" s="208" t="s">
        <v>176</v>
      </c>
      <c r="T494" s="240"/>
      <c r="U494" s="198"/>
      <c r="AD494" s="327"/>
      <c r="AF494" s="328"/>
      <c r="AG494" s="328"/>
      <c r="AH494" s="329"/>
      <c r="AI494" s="329"/>
      <c r="AJ494" s="330"/>
    </row>
    <row r="495" spans="1:36" s="326" customFormat="1" ht="33" customHeight="1" x14ac:dyDescent="0.5">
      <c r="A495" s="331"/>
      <c r="B495" s="508"/>
      <c r="C495" s="332"/>
      <c r="D495" s="332"/>
      <c r="E495" s="333"/>
      <c r="F495" s="333"/>
      <c r="G495" s="108"/>
      <c r="H495" s="108"/>
      <c r="I495" s="360"/>
      <c r="J495" s="360"/>
      <c r="K495" s="360"/>
      <c r="L495" s="360"/>
      <c r="M495" s="360"/>
      <c r="N495" s="287"/>
      <c r="O495" s="87"/>
      <c r="P495" s="287"/>
      <c r="Q495" s="87"/>
      <c r="R495" s="287"/>
      <c r="S495" s="281"/>
      <c r="T495" s="260"/>
      <c r="U495" s="198"/>
      <c r="AD495" s="327"/>
      <c r="AF495" s="328"/>
      <c r="AG495" s="328"/>
      <c r="AH495" s="329"/>
      <c r="AI495" s="329"/>
      <c r="AJ495" s="330"/>
    </row>
    <row r="496" spans="1:36" s="326" customFormat="1" ht="33" customHeight="1" x14ac:dyDescent="0.5">
      <c r="A496" s="331"/>
      <c r="B496" s="508"/>
      <c r="C496" s="332"/>
      <c r="D496" s="332"/>
      <c r="E496" s="333"/>
      <c r="F496" s="333"/>
      <c r="G496" s="108"/>
      <c r="H496" s="108"/>
      <c r="I496" s="360"/>
      <c r="J496" s="360"/>
      <c r="K496" s="360"/>
      <c r="L496" s="360"/>
      <c r="M496" s="360"/>
      <c r="N496" s="287"/>
      <c r="O496" s="87"/>
      <c r="P496" s="287"/>
      <c r="Q496" s="87"/>
      <c r="R496" s="287"/>
      <c r="S496" s="282" t="s">
        <v>79</v>
      </c>
      <c r="T496" s="283"/>
      <c r="U496" s="198"/>
      <c r="AD496" s="327"/>
      <c r="AF496" s="328"/>
      <c r="AG496" s="328"/>
      <c r="AH496" s="329"/>
      <c r="AI496" s="329"/>
      <c r="AJ496" s="330"/>
    </row>
    <row r="497" spans="1:36" s="326" customFormat="1" ht="33" customHeight="1" x14ac:dyDescent="0.5">
      <c r="A497" s="331"/>
      <c r="B497" s="508"/>
      <c r="C497" s="332"/>
      <c r="D497" s="332"/>
      <c r="E497" s="333"/>
      <c r="F497" s="333"/>
      <c r="G497" s="108"/>
      <c r="H497" s="108"/>
      <c r="I497" s="360"/>
      <c r="J497" s="360"/>
      <c r="K497" s="360"/>
      <c r="L497" s="360"/>
      <c r="M497" s="360"/>
      <c r="N497" s="287"/>
      <c r="O497" s="87"/>
      <c r="P497" s="287"/>
      <c r="Q497" s="87"/>
      <c r="R497" s="287"/>
      <c r="S497" s="282" t="s">
        <v>53</v>
      </c>
      <c r="T497" s="283"/>
      <c r="U497" s="198"/>
      <c r="AD497" s="327"/>
      <c r="AF497" s="328"/>
      <c r="AG497" s="328"/>
      <c r="AH497" s="329"/>
      <c r="AI497" s="329"/>
      <c r="AJ497" s="330"/>
    </row>
    <row r="498" spans="1:36" s="326" customFormat="1" ht="33" customHeight="1" x14ac:dyDescent="0.5">
      <c r="A498" s="331"/>
      <c r="B498" s="508"/>
      <c r="C498" s="332"/>
      <c r="D498" s="332"/>
      <c r="E498" s="333"/>
      <c r="F498" s="333"/>
      <c r="G498" s="108"/>
      <c r="H498" s="108"/>
      <c r="I498" s="360"/>
      <c r="J498" s="360"/>
      <c r="K498" s="360"/>
      <c r="L498" s="360"/>
      <c r="M498" s="360"/>
      <c r="N498" s="287"/>
      <c r="O498" s="87"/>
      <c r="P498" s="287"/>
      <c r="Q498" s="87"/>
      <c r="R498" s="287"/>
      <c r="S498" s="282" t="s">
        <v>80</v>
      </c>
      <c r="T498" s="283"/>
      <c r="U498" s="198"/>
      <c r="AD498" s="327"/>
      <c r="AF498" s="328"/>
      <c r="AG498" s="328"/>
      <c r="AH498" s="329"/>
      <c r="AI498" s="329"/>
      <c r="AJ498" s="330"/>
    </row>
    <row r="499" spans="1:36" s="326" customFormat="1" ht="33" customHeight="1" x14ac:dyDescent="0.5">
      <c r="A499" s="331"/>
      <c r="B499" s="508"/>
      <c r="C499" s="332"/>
      <c r="D499" s="332"/>
      <c r="E499" s="333"/>
      <c r="F499" s="333"/>
      <c r="G499" s="108"/>
      <c r="H499" s="108"/>
      <c r="I499" s="360"/>
      <c r="J499" s="360"/>
      <c r="K499" s="360"/>
      <c r="L499" s="360"/>
      <c r="M499" s="360"/>
      <c r="N499" s="287"/>
      <c r="O499" s="87"/>
      <c r="P499" s="287"/>
      <c r="Q499" s="87"/>
      <c r="R499" s="287"/>
      <c r="S499" s="208" t="s">
        <v>81</v>
      </c>
      <c r="T499" s="283"/>
      <c r="U499" s="198"/>
      <c r="AD499" s="327"/>
      <c r="AF499" s="328"/>
      <c r="AG499" s="328"/>
      <c r="AH499" s="329"/>
      <c r="AI499" s="329"/>
      <c r="AJ499" s="330"/>
    </row>
    <row r="500" spans="1:36" s="326" customFormat="1" ht="33" customHeight="1" x14ac:dyDescent="0.5">
      <c r="A500" s="331"/>
      <c r="B500" s="508"/>
      <c r="C500" s="332"/>
      <c r="D500" s="332"/>
      <c r="E500" s="333"/>
      <c r="F500" s="333"/>
      <c r="G500" s="108"/>
      <c r="H500" s="108"/>
      <c r="I500" s="360"/>
      <c r="J500" s="360"/>
      <c r="K500" s="360"/>
      <c r="L500" s="360"/>
      <c r="M500" s="360"/>
      <c r="N500" s="287"/>
      <c r="O500" s="87"/>
      <c r="P500" s="287"/>
      <c r="Q500" s="87"/>
      <c r="R500" s="287"/>
      <c r="S500" s="208" t="s">
        <v>82</v>
      </c>
      <c r="T500" s="283"/>
      <c r="U500" s="198"/>
      <c r="AD500" s="327"/>
      <c r="AF500" s="328"/>
      <c r="AG500" s="328"/>
      <c r="AH500" s="329"/>
      <c r="AI500" s="329"/>
      <c r="AJ500" s="330"/>
    </row>
    <row r="501" spans="1:36" s="326" customFormat="1" ht="33" customHeight="1" x14ac:dyDescent="0.5">
      <c r="A501" s="331"/>
      <c r="B501" s="508"/>
      <c r="C501" s="332"/>
      <c r="D501" s="332"/>
      <c r="E501" s="333"/>
      <c r="F501" s="333"/>
      <c r="G501" s="108"/>
      <c r="H501" s="108"/>
      <c r="I501" s="360"/>
      <c r="J501" s="360"/>
      <c r="K501" s="360"/>
      <c r="L501" s="360"/>
      <c r="M501" s="360"/>
      <c r="N501" s="287"/>
      <c r="O501" s="87"/>
      <c r="P501" s="287"/>
      <c r="Q501" s="87"/>
      <c r="R501" s="287"/>
      <c r="S501" s="208" t="s">
        <v>187</v>
      </c>
      <c r="T501" s="283"/>
      <c r="U501" s="198"/>
      <c r="AD501" s="327"/>
      <c r="AF501" s="328"/>
      <c r="AG501" s="328"/>
      <c r="AH501" s="329"/>
      <c r="AI501" s="329"/>
      <c r="AJ501" s="330"/>
    </row>
    <row r="502" spans="1:36" s="326" customFormat="1" ht="33" customHeight="1" x14ac:dyDescent="0.5">
      <c r="A502" s="331"/>
      <c r="B502" s="508"/>
      <c r="C502" s="332"/>
      <c r="D502" s="332"/>
      <c r="E502" s="333"/>
      <c r="F502" s="333"/>
      <c r="G502" s="108"/>
      <c r="H502" s="108"/>
      <c r="I502" s="360"/>
      <c r="J502" s="360"/>
      <c r="K502" s="360"/>
      <c r="L502" s="360"/>
      <c r="M502" s="360"/>
      <c r="N502" s="287"/>
      <c r="O502" s="87"/>
      <c r="P502" s="287"/>
      <c r="Q502" s="87"/>
      <c r="R502" s="287"/>
      <c r="S502" s="281"/>
      <c r="T502" s="260"/>
      <c r="U502" s="198"/>
      <c r="AD502" s="327"/>
      <c r="AF502" s="328"/>
      <c r="AG502" s="328"/>
      <c r="AH502" s="329"/>
      <c r="AI502" s="329"/>
      <c r="AJ502" s="330"/>
    </row>
    <row r="503" spans="1:36" s="326" customFormat="1" ht="33" customHeight="1" x14ac:dyDescent="0.5">
      <c r="A503" s="331"/>
      <c r="B503" s="508"/>
      <c r="C503" s="332"/>
      <c r="D503" s="332"/>
      <c r="E503" s="333"/>
      <c r="F503" s="333"/>
      <c r="G503" s="108"/>
      <c r="H503" s="108"/>
      <c r="I503" s="360"/>
      <c r="J503" s="360"/>
      <c r="K503" s="360"/>
      <c r="L503" s="360"/>
      <c r="M503" s="360"/>
      <c r="N503" s="287"/>
      <c r="O503" s="87"/>
      <c r="P503" s="287"/>
      <c r="Q503" s="87"/>
      <c r="R503" s="287"/>
      <c r="S503" s="212" t="s">
        <v>191</v>
      </c>
      <c r="T503" s="213" t="s">
        <v>190</v>
      </c>
      <c r="U503" s="198"/>
      <c r="AD503" s="327"/>
      <c r="AF503" s="328"/>
      <c r="AG503" s="328"/>
      <c r="AH503" s="329"/>
      <c r="AI503" s="329"/>
      <c r="AJ503" s="330"/>
    </row>
    <row r="504" spans="1:36" s="326" customFormat="1" ht="33" customHeight="1" x14ac:dyDescent="0.5">
      <c r="A504" s="331"/>
      <c r="B504" s="508"/>
      <c r="C504" s="332"/>
      <c r="D504" s="332"/>
      <c r="E504" s="333"/>
      <c r="F504" s="333"/>
      <c r="G504" s="108"/>
      <c r="H504" s="108"/>
      <c r="I504" s="360"/>
      <c r="J504" s="360"/>
      <c r="K504" s="360"/>
      <c r="L504" s="360"/>
      <c r="M504" s="360"/>
      <c r="N504" s="287"/>
      <c r="O504" s="87"/>
      <c r="P504" s="287"/>
      <c r="Q504" s="87"/>
      <c r="R504" s="287"/>
      <c r="S504" s="212" t="s">
        <v>194</v>
      </c>
      <c r="T504" s="213" t="s">
        <v>190</v>
      </c>
      <c r="U504" s="198"/>
      <c r="AD504" s="327"/>
      <c r="AF504" s="328"/>
      <c r="AG504" s="328"/>
      <c r="AH504" s="329"/>
      <c r="AI504" s="329"/>
      <c r="AJ504" s="330"/>
    </row>
    <row r="505" spans="1:36" s="326" customFormat="1" ht="33" customHeight="1" x14ac:dyDescent="0.5">
      <c r="A505" s="331"/>
      <c r="B505" s="508"/>
      <c r="C505" s="332"/>
      <c r="D505" s="332"/>
      <c r="E505" s="333"/>
      <c r="F505" s="333"/>
      <c r="G505" s="108"/>
      <c r="H505" s="108"/>
      <c r="I505" s="360"/>
      <c r="J505" s="360"/>
      <c r="K505" s="360"/>
      <c r="L505" s="360"/>
      <c r="M505" s="360"/>
      <c r="N505" s="287"/>
      <c r="O505" s="87"/>
      <c r="P505" s="287"/>
      <c r="Q505" s="87"/>
      <c r="R505" s="287"/>
      <c r="S505" s="242"/>
      <c r="T505" s="243"/>
      <c r="U505" s="198"/>
      <c r="AD505" s="327"/>
      <c r="AF505" s="328"/>
      <c r="AG505" s="328"/>
      <c r="AH505" s="329"/>
      <c r="AI505" s="329"/>
      <c r="AJ505" s="330"/>
    </row>
    <row r="506" spans="1:36" s="326" customFormat="1" ht="33" customHeight="1" x14ac:dyDescent="0.5">
      <c r="A506" s="331"/>
      <c r="B506" s="508"/>
      <c r="C506" s="332"/>
      <c r="D506" s="332"/>
      <c r="E506" s="333"/>
      <c r="F506" s="333"/>
      <c r="G506" s="108"/>
      <c r="H506" s="108"/>
      <c r="I506" s="360"/>
      <c r="J506" s="360"/>
      <c r="K506" s="360"/>
      <c r="L506" s="360"/>
      <c r="M506" s="360"/>
      <c r="N506" s="287"/>
      <c r="O506" s="87"/>
      <c r="P506" s="287"/>
      <c r="Q506" s="87"/>
      <c r="R506" s="287"/>
      <c r="S506" s="244" t="s">
        <v>126</v>
      </c>
      <c r="T506" s="205"/>
      <c r="U506" s="198"/>
      <c r="AD506" s="327"/>
      <c r="AF506" s="328"/>
      <c r="AG506" s="328"/>
      <c r="AH506" s="329"/>
      <c r="AI506" s="329"/>
      <c r="AJ506" s="330"/>
    </row>
    <row r="507" spans="1:36" s="326" customFormat="1" ht="33" customHeight="1" x14ac:dyDescent="0.5">
      <c r="A507" s="331"/>
      <c r="B507" s="508"/>
      <c r="C507" s="332"/>
      <c r="D507" s="332"/>
      <c r="E507" s="333"/>
      <c r="F507" s="333"/>
      <c r="G507" s="108"/>
      <c r="H507" s="108"/>
      <c r="I507" s="360"/>
      <c r="J507" s="360"/>
      <c r="K507" s="360"/>
      <c r="L507" s="360"/>
      <c r="M507" s="360"/>
      <c r="N507" s="287"/>
      <c r="O507" s="87"/>
      <c r="P507" s="287"/>
      <c r="Q507" s="87"/>
      <c r="R507" s="287"/>
      <c r="S507" s="146" t="s">
        <v>239</v>
      </c>
      <c r="T507" s="526" t="s">
        <v>316</v>
      </c>
      <c r="U507" s="198"/>
      <c r="AD507" s="327"/>
      <c r="AF507" s="328"/>
      <c r="AG507" s="328"/>
      <c r="AH507" s="329"/>
      <c r="AI507" s="329"/>
      <c r="AJ507" s="330"/>
    </row>
    <row r="508" spans="1:36" s="326" customFormat="1" ht="33" customHeight="1" x14ac:dyDescent="0.5">
      <c r="A508" s="331"/>
      <c r="B508" s="508"/>
      <c r="C508" s="332"/>
      <c r="D508" s="332"/>
      <c r="E508" s="333"/>
      <c r="F508" s="333"/>
      <c r="G508" s="108"/>
      <c r="H508" s="108"/>
      <c r="I508" s="360"/>
      <c r="J508" s="360"/>
      <c r="K508" s="360"/>
      <c r="L508" s="360"/>
      <c r="M508" s="360"/>
      <c r="N508" s="287"/>
      <c r="O508" s="87"/>
      <c r="P508" s="287"/>
      <c r="Q508" s="87"/>
      <c r="R508" s="287"/>
      <c r="S508" s="235"/>
      <c r="T508" s="236"/>
      <c r="U508" s="198"/>
      <c r="AD508" s="327"/>
      <c r="AF508" s="328"/>
      <c r="AG508" s="328"/>
      <c r="AH508" s="329"/>
      <c r="AI508" s="329"/>
      <c r="AJ508" s="330"/>
    </row>
    <row r="509" spans="1:36" s="326" customFormat="1" ht="33" customHeight="1" x14ac:dyDescent="0.5">
      <c r="A509" s="331"/>
      <c r="B509" s="508"/>
      <c r="C509" s="245"/>
      <c r="D509" s="245"/>
      <c r="E509" s="334"/>
      <c r="F509" s="334"/>
      <c r="G509" s="51"/>
      <c r="H509" s="51"/>
      <c r="I509" s="369"/>
      <c r="J509" s="369"/>
      <c r="K509" s="369"/>
      <c r="L509" s="369"/>
      <c r="M509" s="369"/>
      <c r="N509" s="382"/>
      <c r="O509" s="51"/>
      <c r="P509" s="286"/>
      <c r="Q509" s="45"/>
      <c r="R509" s="286"/>
      <c r="S509" s="247" t="s">
        <v>0</v>
      </c>
      <c r="T509" s="248">
        <f xml:space="preserve"> SUM(H479:H510)-SUM($G479:$G510)</f>
        <v>0.20833333333333326</v>
      </c>
      <c r="U509" s="335"/>
      <c r="AD509" s="327"/>
    </row>
    <row r="510" spans="1:36" s="326" customFormat="1" ht="33" customHeight="1" thickBot="1" x14ac:dyDescent="0.55000000000000004">
      <c r="A510" s="336"/>
      <c r="B510" s="509"/>
      <c r="C510" s="337"/>
      <c r="D510" s="337"/>
      <c r="E510" s="338"/>
      <c r="F510" s="338"/>
      <c r="G510" s="52"/>
      <c r="H510" s="52"/>
      <c r="I510" s="362"/>
      <c r="J510" s="362"/>
      <c r="K510" s="362"/>
      <c r="L510" s="362"/>
      <c r="M510" s="362"/>
      <c r="N510" s="383"/>
      <c r="O510" s="51"/>
      <c r="P510" s="289"/>
      <c r="Q510" s="46"/>
      <c r="R510" s="289"/>
      <c r="S510" s="339" t="s">
        <v>7</v>
      </c>
      <c r="T510" s="253">
        <f xml:space="preserve"> SUM(M479:M510)-SUM($J479:$J510)</f>
        <v>0.22986111111111107</v>
      </c>
      <c r="U510" s="335"/>
      <c r="AD510" s="327"/>
    </row>
    <row r="511" spans="1:36" s="326" customFormat="1" ht="33" customHeight="1" x14ac:dyDescent="0.5">
      <c r="A511" s="324" t="s">
        <v>12</v>
      </c>
      <c r="B511" s="507" t="s">
        <v>1</v>
      </c>
      <c r="C511" s="325"/>
      <c r="D511" s="325"/>
      <c r="E511" s="226"/>
      <c r="F511" s="226"/>
      <c r="G511" s="113"/>
      <c r="H511" s="113"/>
      <c r="I511" s="359"/>
      <c r="J511" s="359"/>
      <c r="K511" s="359"/>
      <c r="L511" s="359"/>
      <c r="M511" s="359"/>
      <c r="N511" s="381"/>
      <c r="O511" s="114"/>
      <c r="P511" s="381"/>
      <c r="Q511" s="114"/>
      <c r="R511" s="381"/>
      <c r="S511" s="196" t="s">
        <v>47</v>
      </c>
      <c r="T511" s="228"/>
      <c r="U511" s="198"/>
      <c r="V511" s="340"/>
      <c r="W511" s="340"/>
      <c r="X511" s="340"/>
      <c r="Y511" s="340"/>
      <c r="Z511" s="340"/>
      <c r="AA511" s="340"/>
      <c r="AB511" s="340"/>
      <c r="AC511" s="340"/>
      <c r="AD511" s="341"/>
    </row>
    <row r="512" spans="1:36" s="326" customFormat="1" ht="33" customHeight="1" x14ac:dyDescent="0.5">
      <c r="A512" s="331" t="s">
        <v>6</v>
      </c>
      <c r="B512" s="508"/>
      <c r="C512" s="232" t="s">
        <v>52</v>
      </c>
      <c r="D512" s="232" t="s">
        <v>43</v>
      </c>
      <c r="E512" s="47" t="s">
        <v>35</v>
      </c>
      <c r="F512" s="47" t="s">
        <v>37</v>
      </c>
      <c r="G512" s="110">
        <v>0.35416666666666669</v>
      </c>
      <c r="H512" s="110">
        <f>G512+150*"0:1:0"</f>
        <v>0.45833333333333337</v>
      </c>
      <c r="I512" s="366">
        <v>0.3263888888888889</v>
      </c>
      <c r="J512" s="366">
        <v>0.3263888888888889</v>
      </c>
      <c r="K512" s="366">
        <v>0.33750000000000002</v>
      </c>
      <c r="L512" s="366">
        <v>0.4375</v>
      </c>
      <c r="M512" s="366">
        <v>0.44097222222222221</v>
      </c>
      <c r="N512" s="365">
        <f t="shared" ref="N512:N513" si="14">SUM(M512-J512)</f>
        <v>0.11458333333333331</v>
      </c>
      <c r="O512" s="45" t="s">
        <v>48</v>
      </c>
      <c r="P512" s="106" t="s">
        <v>48</v>
      </c>
      <c r="Q512" s="45">
        <v>1500</v>
      </c>
      <c r="R512" s="106">
        <v>1406</v>
      </c>
      <c r="S512" s="235" t="s">
        <v>254</v>
      </c>
      <c r="T512" s="236"/>
      <c r="U512" s="198"/>
      <c r="V512" s="340"/>
      <c r="W512" s="340"/>
      <c r="X512" s="340"/>
      <c r="Y512" s="340"/>
      <c r="Z512" s="340"/>
      <c r="AA512" s="340"/>
      <c r="AB512" s="340"/>
      <c r="AC512" s="340"/>
      <c r="AD512" s="341"/>
    </row>
    <row r="513" spans="1:30" s="326" customFormat="1" ht="33" customHeight="1" x14ac:dyDescent="0.5">
      <c r="A513" s="331" t="s">
        <v>172</v>
      </c>
      <c r="B513" s="508"/>
      <c r="C513" s="232"/>
      <c r="D513" s="232"/>
      <c r="E513" s="47" t="s">
        <v>37</v>
      </c>
      <c r="F513" s="47" t="s">
        <v>35</v>
      </c>
      <c r="G513" s="110">
        <f>H512+45*"0:1:0"</f>
        <v>0.48958333333333337</v>
      </c>
      <c r="H513" s="110">
        <f>G513+150*"0:1:0"</f>
        <v>0.59375</v>
      </c>
      <c r="I513" s="366">
        <v>0.4548611111111111</v>
      </c>
      <c r="J513" s="366">
        <v>0.4548611111111111</v>
      </c>
      <c r="K513" s="366">
        <v>0.46041666666666664</v>
      </c>
      <c r="L513" s="366">
        <v>0.56805555555555554</v>
      </c>
      <c r="M513" s="366">
        <v>0.57152777777777775</v>
      </c>
      <c r="N513" s="365">
        <f t="shared" si="14"/>
        <v>0.11666666666666664</v>
      </c>
      <c r="O513" s="45" t="s">
        <v>48</v>
      </c>
      <c r="P513" s="106" t="s">
        <v>48</v>
      </c>
      <c r="Q513" s="45" t="s">
        <v>48</v>
      </c>
      <c r="R513" s="106" t="s">
        <v>48</v>
      </c>
      <c r="S513" s="235" t="s">
        <v>192</v>
      </c>
      <c r="T513" s="236"/>
      <c r="U513" s="198"/>
      <c r="V513" s="340"/>
      <c r="W513" s="340"/>
      <c r="X513" s="340"/>
      <c r="Y513" s="340"/>
      <c r="Z513" s="340"/>
      <c r="AA513" s="340"/>
      <c r="AB513" s="340"/>
      <c r="AC513" s="340"/>
      <c r="AD513" s="341"/>
    </row>
    <row r="514" spans="1:30" s="326" customFormat="1" ht="33" customHeight="1" x14ac:dyDescent="0.5">
      <c r="A514" s="331"/>
      <c r="B514" s="508"/>
      <c r="C514" s="232"/>
      <c r="D514" s="232"/>
      <c r="E514" s="234"/>
      <c r="F514" s="234"/>
      <c r="G514" s="110"/>
      <c r="H514" s="110"/>
      <c r="I514" s="361"/>
      <c r="J514" s="361"/>
      <c r="K514" s="361"/>
      <c r="L514" s="361"/>
      <c r="M514" s="361"/>
      <c r="N514" s="361"/>
      <c r="O514" s="45"/>
      <c r="P514" s="286"/>
      <c r="Q514" s="45"/>
      <c r="R514" s="286"/>
      <c r="S514" s="235"/>
      <c r="T514" s="236"/>
      <c r="U514" s="198"/>
      <c r="V514" s="340"/>
      <c r="W514" s="340"/>
      <c r="X514" s="340"/>
      <c r="Y514" s="340"/>
      <c r="Z514" s="340"/>
      <c r="AA514" s="340"/>
      <c r="AB514" s="340"/>
      <c r="AC514" s="340"/>
      <c r="AD514" s="341"/>
    </row>
    <row r="515" spans="1:30" s="326" customFormat="1" ht="33" customHeight="1" x14ac:dyDescent="0.5">
      <c r="A515" s="331"/>
      <c r="B515" s="508"/>
      <c r="C515" s="332"/>
      <c r="D515" s="332"/>
      <c r="E515" s="333"/>
      <c r="F515" s="333"/>
      <c r="G515" s="108"/>
      <c r="H515" s="108"/>
      <c r="I515" s="360"/>
      <c r="J515" s="360"/>
      <c r="K515" s="360"/>
      <c r="L515" s="360"/>
      <c r="M515" s="360"/>
      <c r="N515" s="287"/>
      <c r="O515" s="87"/>
      <c r="P515" s="287"/>
      <c r="Q515" s="87"/>
      <c r="R515" s="287"/>
      <c r="S515" s="146" t="s">
        <v>73</v>
      </c>
      <c r="T515" s="237"/>
      <c r="U515" s="198"/>
      <c r="V515" s="340"/>
      <c r="W515" s="340"/>
      <c r="X515" s="340"/>
      <c r="Y515" s="340"/>
      <c r="Z515" s="340"/>
      <c r="AA515" s="340"/>
      <c r="AB515" s="340"/>
      <c r="AC515" s="340"/>
      <c r="AD515" s="341"/>
    </row>
    <row r="516" spans="1:30" s="326" customFormat="1" ht="33" customHeight="1" x14ac:dyDescent="0.5">
      <c r="A516" s="331"/>
      <c r="B516" s="508"/>
      <c r="C516" s="332"/>
      <c r="D516" s="332"/>
      <c r="E516" s="333"/>
      <c r="F516" s="333"/>
      <c r="G516" s="108"/>
      <c r="H516" s="108"/>
      <c r="I516" s="360"/>
      <c r="J516" s="360"/>
      <c r="K516" s="360"/>
      <c r="L516" s="360"/>
      <c r="M516" s="360"/>
      <c r="N516" s="287"/>
      <c r="O516" s="87"/>
      <c r="P516" s="287"/>
      <c r="Q516" s="87"/>
      <c r="R516" s="287"/>
      <c r="S516" s="207" t="s">
        <v>74</v>
      </c>
      <c r="T516" s="238"/>
      <c r="U516" s="198"/>
      <c r="V516" s="340"/>
      <c r="W516" s="340"/>
      <c r="X516" s="340"/>
      <c r="Y516" s="340"/>
      <c r="Z516" s="340"/>
      <c r="AA516" s="340"/>
      <c r="AB516" s="340"/>
      <c r="AC516" s="340"/>
      <c r="AD516" s="341"/>
    </row>
    <row r="517" spans="1:30" s="326" customFormat="1" ht="33" customHeight="1" x14ac:dyDescent="0.5">
      <c r="A517" s="331"/>
      <c r="B517" s="508"/>
      <c r="C517" s="332"/>
      <c r="D517" s="332"/>
      <c r="E517" s="333"/>
      <c r="F517" s="333"/>
      <c r="G517" s="108"/>
      <c r="H517" s="108"/>
      <c r="I517" s="360"/>
      <c r="J517" s="360"/>
      <c r="K517" s="360"/>
      <c r="L517" s="360"/>
      <c r="M517" s="360"/>
      <c r="N517" s="287"/>
      <c r="O517" s="87"/>
      <c r="P517" s="287"/>
      <c r="Q517" s="87"/>
      <c r="R517" s="287"/>
      <c r="S517" s="207" t="s">
        <v>75</v>
      </c>
      <c r="T517" s="238"/>
      <c r="U517" s="198"/>
      <c r="V517" s="340"/>
      <c r="W517" s="340"/>
      <c r="X517" s="340"/>
      <c r="Y517" s="340"/>
      <c r="Z517" s="340"/>
      <c r="AA517" s="340"/>
      <c r="AB517" s="340"/>
      <c r="AC517" s="340"/>
      <c r="AD517" s="341"/>
    </row>
    <row r="518" spans="1:30" s="326" customFormat="1" ht="33" customHeight="1" x14ac:dyDescent="0.5">
      <c r="A518" s="331"/>
      <c r="B518" s="508"/>
      <c r="C518" s="332"/>
      <c r="D518" s="332"/>
      <c r="E518" s="333"/>
      <c r="F518" s="333"/>
      <c r="G518" s="108"/>
      <c r="H518" s="108"/>
      <c r="I518" s="360"/>
      <c r="J518" s="360"/>
      <c r="K518" s="360"/>
      <c r="L518" s="360"/>
      <c r="M518" s="360"/>
      <c r="N518" s="287"/>
      <c r="O518" s="87"/>
      <c r="P518" s="287"/>
      <c r="Q518" s="87"/>
      <c r="R518" s="287"/>
      <c r="S518" s="208" t="s">
        <v>76</v>
      </c>
      <c r="T518" s="238"/>
      <c r="U518" s="198"/>
      <c r="V518" s="340"/>
      <c r="W518" s="340"/>
      <c r="X518" s="340"/>
      <c r="Y518" s="340"/>
      <c r="Z518" s="340"/>
      <c r="AA518" s="340"/>
      <c r="AB518" s="340"/>
      <c r="AC518" s="340"/>
      <c r="AD518" s="341"/>
    </row>
    <row r="519" spans="1:30" s="326" customFormat="1" ht="33" customHeight="1" x14ac:dyDescent="0.5">
      <c r="A519" s="331"/>
      <c r="B519" s="508"/>
      <c r="C519" s="332"/>
      <c r="D519" s="332"/>
      <c r="E519" s="333"/>
      <c r="F519" s="333"/>
      <c r="G519" s="108"/>
      <c r="H519" s="108"/>
      <c r="I519" s="360"/>
      <c r="J519" s="360"/>
      <c r="K519" s="360"/>
      <c r="L519" s="360"/>
      <c r="M519" s="360"/>
      <c r="N519" s="287"/>
      <c r="O519" s="87"/>
      <c r="P519" s="287"/>
      <c r="Q519" s="87"/>
      <c r="R519" s="287"/>
      <c r="S519" s="209" t="s">
        <v>77</v>
      </c>
      <c r="T519" s="238"/>
      <c r="U519" s="198"/>
      <c r="V519" s="340"/>
      <c r="W519" s="340"/>
      <c r="X519" s="340"/>
      <c r="Y519" s="340"/>
      <c r="Z519" s="340"/>
      <c r="AA519" s="340"/>
      <c r="AB519" s="340"/>
      <c r="AC519" s="340"/>
      <c r="AD519" s="341"/>
    </row>
    <row r="520" spans="1:30" s="326" customFormat="1" ht="33" customHeight="1" x14ac:dyDescent="0.5">
      <c r="A520" s="331"/>
      <c r="B520" s="508"/>
      <c r="C520" s="332"/>
      <c r="D520" s="332"/>
      <c r="E520" s="333"/>
      <c r="F520" s="333"/>
      <c r="G520" s="108"/>
      <c r="H520" s="108"/>
      <c r="I520" s="360"/>
      <c r="J520" s="360"/>
      <c r="K520" s="360"/>
      <c r="L520" s="360"/>
      <c r="M520" s="360"/>
      <c r="N520" s="287"/>
      <c r="O520" s="87"/>
      <c r="P520" s="287"/>
      <c r="Q520" s="87"/>
      <c r="R520" s="287"/>
      <c r="S520" s="209" t="s">
        <v>78</v>
      </c>
      <c r="T520" s="238"/>
      <c r="U520" s="198"/>
      <c r="V520" s="340"/>
      <c r="W520" s="340"/>
      <c r="X520" s="340"/>
      <c r="Y520" s="340"/>
      <c r="Z520" s="340"/>
      <c r="AA520" s="340"/>
      <c r="AB520" s="340"/>
      <c r="AC520" s="340"/>
      <c r="AD520" s="341"/>
    </row>
    <row r="521" spans="1:30" s="326" customFormat="1" ht="33" customHeight="1" x14ac:dyDescent="0.5">
      <c r="A521" s="331"/>
      <c r="B521" s="508"/>
      <c r="C521" s="332"/>
      <c r="D521" s="332"/>
      <c r="E521" s="333"/>
      <c r="F521" s="333"/>
      <c r="G521" s="108"/>
      <c r="H521" s="108"/>
      <c r="I521" s="360"/>
      <c r="J521" s="360"/>
      <c r="K521" s="360"/>
      <c r="L521" s="360"/>
      <c r="M521" s="360"/>
      <c r="N521" s="287"/>
      <c r="O521" s="87"/>
      <c r="P521" s="287"/>
      <c r="Q521" s="87"/>
      <c r="R521" s="287"/>
      <c r="S521" s="208" t="s">
        <v>168</v>
      </c>
      <c r="T521" s="239"/>
      <c r="U521" s="198"/>
      <c r="V521" s="340"/>
      <c r="W521" s="340"/>
      <c r="X521" s="340"/>
      <c r="Y521" s="340"/>
      <c r="Z521" s="340"/>
      <c r="AA521" s="340"/>
      <c r="AB521" s="340"/>
      <c r="AC521" s="340"/>
      <c r="AD521" s="341"/>
    </row>
    <row r="522" spans="1:30" s="326" customFormat="1" ht="33" customHeight="1" x14ac:dyDescent="0.5">
      <c r="A522" s="331"/>
      <c r="B522" s="508"/>
      <c r="C522" s="332"/>
      <c r="D522" s="332"/>
      <c r="E522" s="333"/>
      <c r="F522" s="333"/>
      <c r="G522" s="108"/>
      <c r="H522" s="108"/>
      <c r="I522" s="360"/>
      <c r="J522" s="360"/>
      <c r="K522" s="360"/>
      <c r="L522" s="360"/>
      <c r="M522" s="360"/>
      <c r="N522" s="287"/>
      <c r="O522" s="87"/>
      <c r="P522" s="287"/>
      <c r="Q522" s="87"/>
      <c r="R522" s="287"/>
      <c r="S522" s="210" t="s">
        <v>169</v>
      </c>
      <c r="T522" s="239"/>
      <c r="U522" s="198"/>
      <c r="V522" s="340"/>
      <c r="W522" s="340"/>
      <c r="X522" s="340"/>
      <c r="Y522" s="340"/>
      <c r="Z522" s="340"/>
      <c r="AA522" s="340"/>
      <c r="AB522" s="340"/>
      <c r="AC522" s="340"/>
      <c r="AD522" s="341"/>
    </row>
    <row r="523" spans="1:30" s="326" customFormat="1" ht="33" customHeight="1" x14ac:dyDescent="0.5">
      <c r="A523" s="331"/>
      <c r="B523" s="508"/>
      <c r="C523" s="332"/>
      <c r="D523" s="332"/>
      <c r="E523" s="333"/>
      <c r="F523" s="333"/>
      <c r="G523" s="108"/>
      <c r="H523" s="108"/>
      <c r="I523" s="360"/>
      <c r="J523" s="360"/>
      <c r="K523" s="360"/>
      <c r="L523" s="360"/>
      <c r="M523" s="360"/>
      <c r="N523" s="287"/>
      <c r="O523" s="87"/>
      <c r="P523" s="287"/>
      <c r="Q523" s="87"/>
      <c r="R523" s="287"/>
      <c r="S523" s="210" t="s">
        <v>170</v>
      </c>
      <c r="T523" s="239"/>
      <c r="U523" s="198"/>
      <c r="V523" s="340"/>
      <c r="W523" s="340"/>
      <c r="X523" s="340"/>
      <c r="Y523" s="340"/>
      <c r="Z523" s="340"/>
      <c r="AA523" s="340"/>
      <c r="AB523" s="340"/>
      <c r="AC523" s="340"/>
      <c r="AD523" s="341"/>
    </row>
    <row r="524" spans="1:30" s="326" customFormat="1" ht="33" customHeight="1" x14ac:dyDescent="0.5">
      <c r="A524" s="331"/>
      <c r="B524" s="508"/>
      <c r="C524" s="332"/>
      <c r="D524" s="332"/>
      <c r="E524" s="333"/>
      <c r="F524" s="333"/>
      <c r="G524" s="108"/>
      <c r="H524" s="108"/>
      <c r="I524" s="360"/>
      <c r="J524" s="360"/>
      <c r="K524" s="360"/>
      <c r="L524" s="360"/>
      <c r="M524" s="360"/>
      <c r="N524" s="287"/>
      <c r="O524" s="87"/>
      <c r="P524" s="287"/>
      <c r="Q524" s="87"/>
      <c r="R524" s="287"/>
      <c r="S524" s="210" t="s">
        <v>171</v>
      </c>
      <c r="T524" s="239"/>
      <c r="U524" s="198"/>
      <c r="V524" s="340"/>
      <c r="W524" s="340"/>
      <c r="X524" s="340"/>
      <c r="Y524" s="340"/>
      <c r="Z524" s="340"/>
      <c r="AA524" s="340"/>
      <c r="AB524" s="340"/>
      <c r="AC524" s="340"/>
      <c r="AD524" s="341"/>
    </row>
    <row r="525" spans="1:30" s="326" customFormat="1" ht="33" customHeight="1" x14ac:dyDescent="0.5">
      <c r="A525" s="331"/>
      <c r="B525" s="508"/>
      <c r="C525" s="332"/>
      <c r="D525" s="332"/>
      <c r="E525" s="333"/>
      <c r="F525" s="333"/>
      <c r="G525" s="108"/>
      <c r="H525" s="108"/>
      <c r="I525" s="360"/>
      <c r="J525" s="360"/>
      <c r="K525" s="360"/>
      <c r="L525" s="360"/>
      <c r="M525" s="360"/>
      <c r="N525" s="287"/>
      <c r="O525" s="87"/>
      <c r="P525" s="287"/>
      <c r="Q525" s="87"/>
      <c r="R525" s="287"/>
      <c r="S525" s="211" t="s">
        <v>175</v>
      </c>
      <c r="T525" s="240"/>
      <c r="U525" s="198"/>
      <c r="V525" s="340"/>
      <c r="W525" s="340"/>
      <c r="X525" s="340"/>
      <c r="Y525" s="340"/>
      <c r="Z525" s="340"/>
      <c r="AA525" s="340"/>
      <c r="AB525" s="340"/>
      <c r="AC525" s="340"/>
      <c r="AD525" s="341"/>
    </row>
    <row r="526" spans="1:30" s="326" customFormat="1" ht="33" customHeight="1" x14ac:dyDescent="0.5">
      <c r="A526" s="331"/>
      <c r="B526" s="508"/>
      <c r="C526" s="332"/>
      <c r="D526" s="332"/>
      <c r="E526" s="333"/>
      <c r="F526" s="333"/>
      <c r="G526" s="108"/>
      <c r="H526" s="108"/>
      <c r="I526" s="360"/>
      <c r="J526" s="360"/>
      <c r="K526" s="360"/>
      <c r="L526" s="360"/>
      <c r="M526" s="360"/>
      <c r="N526" s="287"/>
      <c r="O526" s="87"/>
      <c r="P526" s="287"/>
      <c r="Q526" s="87"/>
      <c r="R526" s="287"/>
      <c r="S526" s="208" t="s">
        <v>176</v>
      </c>
      <c r="T526" s="240"/>
      <c r="U526" s="198"/>
      <c r="V526" s="340"/>
      <c r="W526" s="340"/>
      <c r="X526" s="340"/>
      <c r="Y526" s="340"/>
      <c r="Z526" s="340"/>
      <c r="AA526" s="340"/>
      <c r="AB526" s="340"/>
      <c r="AC526" s="340"/>
      <c r="AD526" s="341"/>
    </row>
    <row r="527" spans="1:30" s="326" customFormat="1" ht="33" customHeight="1" x14ac:dyDescent="0.5">
      <c r="A527" s="331"/>
      <c r="B527" s="508"/>
      <c r="C527" s="332"/>
      <c r="D527" s="332"/>
      <c r="E527" s="333"/>
      <c r="F527" s="333"/>
      <c r="G527" s="108"/>
      <c r="H527" s="108"/>
      <c r="I527" s="360"/>
      <c r="J527" s="360"/>
      <c r="K527" s="360"/>
      <c r="L527" s="360"/>
      <c r="M527" s="360"/>
      <c r="N527" s="287"/>
      <c r="O527" s="87"/>
      <c r="P527" s="287"/>
      <c r="Q527" s="87"/>
      <c r="R527" s="287"/>
      <c r="S527" s="281"/>
      <c r="T527" s="260"/>
      <c r="U527" s="198"/>
      <c r="V527" s="340"/>
      <c r="W527" s="340"/>
      <c r="X527" s="340"/>
      <c r="Y527" s="340"/>
      <c r="Z527" s="340"/>
      <c r="AA527" s="340"/>
      <c r="AB527" s="340"/>
      <c r="AC527" s="340"/>
      <c r="AD527" s="341"/>
    </row>
    <row r="528" spans="1:30" s="326" customFormat="1" ht="33" customHeight="1" x14ac:dyDescent="0.5">
      <c r="A528" s="331"/>
      <c r="B528" s="508"/>
      <c r="C528" s="332"/>
      <c r="D528" s="332"/>
      <c r="E528" s="333"/>
      <c r="F528" s="333"/>
      <c r="G528" s="108"/>
      <c r="H528" s="108"/>
      <c r="I528" s="360"/>
      <c r="J528" s="360"/>
      <c r="K528" s="360"/>
      <c r="L528" s="360"/>
      <c r="M528" s="360"/>
      <c r="N528" s="287"/>
      <c r="O528" s="87"/>
      <c r="P528" s="287"/>
      <c r="Q528" s="87"/>
      <c r="R528" s="287"/>
      <c r="S528" s="282" t="s">
        <v>79</v>
      </c>
      <c r="T528" s="283"/>
      <c r="U528" s="198"/>
      <c r="V528" s="340"/>
      <c r="W528" s="340"/>
      <c r="X528" s="340"/>
      <c r="Y528" s="340"/>
      <c r="Z528" s="340"/>
      <c r="AA528" s="340"/>
      <c r="AB528" s="340"/>
      <c r="AC528" s="340"/>
      <c r="AD528" s="341"/>
    </row>
    <row r="529" spans="1:30" s="326" customFormat="1" ht="33" customHeight="1" x14ac:dyDescent="0.5">
      <c r="A529" s="331"/>
      <c r="B529" s="508"/>
      <c r="C529" s="332"/>
      <c r="D529" s="332"/>
      <c r="E529" s="333"/>
      <c r="F529" s="333"/>
      <c r="G529" s="108"/>
      <c r="H529" s="108"/>
      <c r="I529" s="360"/>
      <c r="J529" s="360"/>
      <c r="K529" s="360"/>
      <c r="L529" s="360"/>
      <c r="M529" s="360"/>
      <c r="N529" s="287"/>
      <c r="O529" s="87"/>
      <c r="P529" s="287"/>
      <c r="Q529" s="87"/>
      <c r="R529" s="287"/>
      <c r="S529" s="282" t="s">
        <v>53</v>
      </c>
      <c r="T529" s="283"/>
      <c r="U529" s="198"/>
      <c r="V529" s="340"/>
      <c r="W529" s="340"/>
      <c r="X529" s="340"/>
      <c r="Y529" s="340"/>
      <c r="Z529" s="340"/>
      <c r="AA529" s="340"/>
      <c r="AB529" s="340"/>
      <c r="AC529" s="340"/>
      <c r="AD529" s="341"/>
    </row>
    <row r="530" spans="1:30" s="326" customFormat="1" ht="33" customHeight="1" x14ac:dyDescent="0.5">
      <c r="A530" s="331"/>
      <c r="B530" s="508"/>
      <c r="C530" s="332"/>
      <c r="D530" s="332"/>
      <c r="E530" s="333"/>
      <c r="F530" s="333"/>
      <c r="G530" s="108"/>
      <c r="H530" s="108"/>
      <c r="I530" s="360"/>
      <c r="J530" s="360"/>
      <c r="K530" s="360"/>
      <c r="L530" s="360"/>
      <c r="M530" s="360"/>
      <c r="N530" s="287"/>
      <c r="O530" s="87"/>
      <c r="P530" s="287"/>
      <c r="Q530" s="87"/>
      <c r="R530" s="287"/>
      <c r="S530" s="282" t="s">
        <v>80</v>
      </c>
      <c r="T530" s="283"/>
      <c r="U530" s="198"/>
      <c r="V530" s="340"/>
      <c r="W530" s="340"/>
      <c r="X530" s="340"/>
      <c r="Y530" s="340"/>
      <c r="Z530" s="340"/>
      <c r="AA530" s="340"/>
      <c r="AB530" s="340"/>
      <c r="AC530" s="340"/>
      <c r="AD530" s="341"/>
    </row>
    <row r="531" spans="1:30" s="326" customFormat="1" ht="33" customHeight="1" x14ac:dyDescent="0.5">
      <c r="A531" s="331"/>
      <c r="B531" s="508"/>
      <c r="C531" s="332"/>
      <c r="D531" s="332"/>
      <c r="E531" s="333"/>
      <c r="F531" s="333"/>
      <c r="G531" s="108"/>
      <c r="H531" s="108"/>
      <c r="I531" s="360"/>
      <c r="J531" s="360"/>
      <c r="K531" s="360"/>
      <c r="L531" s="360"/>
      <c r="M531" s="360"/>
      <c r="N531" s="287"/>
      <c r="O531" s="87"/>
      <c r="P531" s="287"/>
      <c r="Q531" s="87"/>
      <c r="R531" s="287"/>
      <c r="S531" s="208" t="s">
        <v>81</v>
      </c>
      <c r="T531" s="283"/>
      <c r="U531" s="198"/>
      <c r="V531" s="340"/>
      <c r="W531" s="340"/>
      <c r="X531" s="340"/>
      <c r="Y531" s="340"/>
      <c r="Z531" s="340"/>
      <c r="AA531" s="340"/>
      <c r="AB531" s="340"/>
      <c r="AC531" s="340"/>
      <c r="AD531" s="341"/>
    </row>
    <row r="532" spans="1:30" s="326" customFormat="1" ht="33" customHeight="1" x14ac:dyDescent="0.5">
      <c r="A532" s="331"/>
      <c r="B532" s="508"/>
      <c r="C532" s="332"/>
      <c r="D532" s="332"/>
      <c r="E532" s="333"/>
      <c r="F532" s="333"/>
      <c r="G532" s="108"/>
      <c r="H532" s="108"/>
      <c r="I532" s="360"/>
      <c r="J532" s="360"/>
      <c r="K532" s="360"/>
      <c r="L532" s="360"/>
      <c r="M532" s="360"/>
      <c r="N532" s="287"/>
      <c r="O532" s="87"/>
      <c r="P532" s="287"/>
      <c r="Q532" s="87"/>
      <c r="R532" s="287"/>
      <c r="S532" s="208" t="s">
        <v>82</v>
      </c>
      <c r="T532" s="283"/>
      <c r="U532" s="198"/>
      <c r="V532" s="340"/>
      <c r="W532" s="340"/>
      <c r="X532" s="340"/>
      <c r="Y532" s="340"/>
      <c r="Z532" s="340"/>
      <c r="AA532" s="340"/>
      <c r="AB532" s="340"/>
      <c r="AC532" s="340"/>
      <c r="AD532" s="341"/>
    </row>
    <row r="533" spans="1:30" s="326" customFormat="1" ht="33" customHeight="1" x14ac:dyDescent="0.5">
      <c r="A533" s="331"/>
      <c r="B533" s="508"/>
      <c r="C533" s="332"/>
      <c r="D533" s="332"/>
      <c r="E533" s="333"/>
      <c r="F533" s="333"/>
      <c r="G533" s="108"/>
      <c r="H533" s="108"/>
      <c r="I533" s="360"/>
      <c r="J533" s="360"/>
      <c r="K533" s="360"/>
      <c r="L533" s="360"/>
      <c r="M533" s="360"/>
      <c r="N533" s="287"/>
      <c r="O533" s="87"/>
      <c r="P533" s="287"/>
      <c r="Q533" s="87"/>
      <c r="R533" s="287"/>
      <c r="S533" s="208" t="s">
        <v>187</v>
      </c>
      <c r="T533" s="283"/>
      <c r="U533" s="198"/>
      <c r="V533" s="340"/>
      <c r="W533" s="340"/>
      <c r="X533" s="340"/>
      <c r="Y533" s="340"/>
      <c r="Z533" s="340"/>
      <c r="AA533" s="340"/>
      <c r="AB533" s="340"/>
      <c r="AC533" s="340"/>
      <c r="AD533" s="341"/>
    </row>
    <row r="534" spans="1:30" s="326" customFormat="1" ht="33" customHeight="1" x14ac:dyDescent="0.5">
      <c r="A534" s="331"/>
      <c r="B534" s="508"/>
      <c r="C534" s="332"/>
      <c r="D534" s="332"/>
      <c r="E534" s="333"/>
      <c r="F534" s="333"/>
      <c r="G534" s="108"/>
      <c r="H534" s="108"/>
      <c r="I534" s="360"/>
      <c r="J534" s="360"/>
      <c r="K534" s="360"/>
      <c r="L534" s="360"/>
      <c r="M534" s="360"/>
      <c r="N534" s="287"/>
      <c r="O534" s="87"/>
      <c r="P534" s="287"/>
      <c r="Q534" s="87"/>
      <c r="R534" s="287"/>
      <c r="S534" s="281"/>
      <c r="T534" s="260"/>
      <c r="U534" s="198"/>
      <c r="V534" s="340"/>
      <c r="W534" s="340"/>
      <c r="X534" s="340"/>
      <c r="Y534" s="340"/>
      <c r="Z534" s="340"/>
      <c r="AA534" s="340"/>
      <c r="AB534" s="340"/>
      <c r="AC534" s="340"/>
      <c r="AD534" s="341"/>
    </row>
    <row r="535" spans="1:30" s="326" customFormat="1" ht="33" customHeight="1" x14ac:dyDescent="0.5">
      <c r="A535" s="331"/>
      <c r="B535" s="508"/>
      <c r="C535" s="332"/>
      <c r="D535" s="332"/>
      <c r="E535" s="333"/>
      <c r="F535" s="333"/>
      <c r="G535" s="108"/>
      <c r="H535" s="108"/>
      <c r="I535" s="360"/>
      <c r="J535" s="360"/>
      <c r="K535" s="360"/>
      <c r="L535" s="360"/>
      <c r="M535" s="360"/>
      <c r="N535" s="287"/>
      <c r="O535" s="87"/>
      <c r="P535" s="287"/>
      <c r="Q535" s="87"/>
      <c r="R535" s="287"/>
      <c r="S535" s="212" t="s">
        <v>191</v>
      </c>
      <c r="T535" s="213" t="s">
        <v>190</v>
      </c>
      <c r="U535" s="198"/>
      <c r="V535" s="340"/>
      <c r="W535" s="340"/>
      <c r="X535" s="340"/>
      <c r="Y535" s="340"/>
      <c r="Z535" s="340"/>
      <c r="AA535" s="340"/>
      <c r="AB535" s="340"/>
      <c r="AC535" s="340"/>
      <c r="AD535" s="341"/>
    </row>
    <row r="536" spans="1:30" s="326" customFormat="1" ht="33" customHeight="1" x14ac:dyDescent="0.5">
      <c r="A536" s="331"/>
      <c r="B536" s="508"/>
      <c r="C536" s="332"/>
      <c r="D536" s="332"/>
      <c r="E536" s="333"/>
      <c r="F536" s="333"/>
      <c r="G536" s="108"/>
      <c r="H536" s="108"/>
      <c r="I536" s="360"/>
      <c r="J536" s="360"/>
      <c r="K536" s="360"/>
      <c r="L536" s="360"/>
      <c r="M536" s="360"/>
      <c r="N536" s="287"/>
      <c r="O536" s="87"/>
      <c r="P536" s="287"/>
      <c r="Q536" s="87"/>
      <c r="R536" s="287"/>
      <c r="S536" s="212" t="s">
        <v>194</v>
      </c>
      <c r="T536" s="213" t="s">
        <v>190</v>
      </c>
      <c r="U536" s="198"/>
      <c r="V536" s="340"/>
      <c r="W536" s="340"/>
      <c r="X536" s="340"/>
      <c r="Y536" s="340"/>
      <c r="Z536" s="340"/>
      <c r="AA536" s="340"/>
      <c r="AB536" s="340"/>
      <c r="AC536" s="340"/>
      <c r="AD536" s="341"/>
    </row>
    <row r="537" spans="1:30" s="326" customFormat="1" ht="33" customHeight="1" x14ac:dyDescent="0.5">
      <c r="A537" s="331"/>
      <c r="B537" s="508"/>
      <c r="C537" s="332"/>
      <c r="D537" s="332"/>
      <c r="E537" s="333"/>
      <c r="F537" s="333"/>
      <c r="G537" s="108"/>
      <c r="H537" s="108"/>
      <c r="I537" s="360"/>
      <c r="J537" s="360"/>
      <c r="K537" s="360"/>
      <c r="L537" s="360"/>
      <c r="M537" s="360"/>
      <c r="N537" s="287"/>
      <c r="O537" s="87"/>
      <c r="P537" s="287"/>
      <c r="Q537" s="87"/>
      <c r="R537" s="287"/>
      <c r="S537" s="242"/>
      <c r="T537" s="243"/>
      <c r="U537" s="198"/>
      <c r="V537" s="340"/>
      <c r="W537" s="340"/>
      <c r="X537" s="340"/>
      <c r="Y537" s="340"/>
      <c r="Z537" s="340"/>
      <c r="AA537" s="340"/>
      <c r="AB537" s="340"/>
      <c r="AC537" s="340"/>
      <c r="AD537" s="341"/>
    </row>
    <row r="538" spans="1:30" s="326" customFormat="1" ht="33" customHeight="1" x14ac:dyDescent="0.5">
      <c r="A538" s="331"/>
      <c r="B538" s="508"/>
      <c r="C538" s="332"/>
      <c r="D538" s="332"/>
      <c r="E538" s="333"/>
      <c r="F538" s="333"/>
      <c r="G538" s="108"/>
      <c r="H538" s="108"/>
      <c r="I538" s="360"/>
      <c r="J538" s="360"/>
      <c r="K538" s="360"/>
      <c r="L538" s="360"/>
      <c r="M538" s="360"/>
      <c r="N538" s="287"/>
      <c r="O538" s="87"/>
      <c r="P538" s="287"/>
      <c r="Q538" s="87"/>
      <c r="R538" s="287"/>
      <c r="S538" s="244" t="s">
        <v>126</v>
      </c>
      <c r="T538" s="205"/>
      <c r="U538" s="198"/>
      <c r="V538" s="340"/>
      <c r="W538" s="340"/>
      <c r="X538" s="340"/>
      <c r="Y538" s="340"/>
      <c r="Z538" s="340"/>
      <c r="AA538" s="340"/>
      <c r="AB538" s="340"/>
      <c r="AC538" s="340"/>
      <c r="AD538" s="341"/>
    </row>
    <row r="539" spans="1:30" s="326" customFormat="1" ht="33" customHeight="1" x14ac:dyDescent="0.5">
      <c r="A539" s="331"/>
      <c r="B539" s="508"/>
      <c r="C539" s="332"/>
      <c r="D539" s="332"/>
      <c r="E539" s="333"/>
      <c r="F539" s="333"/>
      <c r="G539" s="108"/>
      <c r="H539" s="108"/>
      <c r="I539" s="360"/>
      <c r="J539" s="360"/>
      <c r="K539" s="360"/>
      <c r="L539" s="360"/>
      <c r="M539" s="360"/>
      <c r="N539" s="287"/>
      <c r="O539" s="87"/>
      <c r="P539" s="287"/>
      <c r="Q539" s="87"/>
      <c r="R539" s="287"/>
      <c r="S539" s="146" t="s">
        <v>239</v>
      </c>
      <c r="T539" s="532" t="s">
        <v>317</v>
      </c>
      <c r="U539" s="198"/>
      <c r="V539" s="340"/>
      <c r="W539" s="340"/>
      <c r="X539" s="340"/>
      <c r="Y539" s="340"/>
      <c r="Z539" s="340"/>
      <c r="AA539" s="340"/>
      <c r="AB539" s="340"/>
      <c r="AC539" s="340"/>
      <c r="AD539" s="341"/>
    </row>
    <row r="540" spans="1:30" s="326" customFormat="1" ht="33" customHeight="1" x14ac:dyDescent="0.5">
      <c r="A540" s="331"/>
      <c r="B540" s="508"/>
      <c r="C540" s="332"/>
      <c r="D540" s="332"/>
      <c r="E540" s="333"/>
      <c r="F540" s="333"/>
      <c r="G540" s="108"/>
      <c r="H540" s="108"/>
      <c r="I540" s="360"/>
      <c r="J540" s="360"/>
      <c r="K540" s="360"/>
      <c r="L540" s="360"/>
      <c r="M540" s="360"/>
      <c r="N540" s="287"/>
      <c r="O540" s="87"/>
      <c r="P540" s="287"/>
      <c r="Q540" s="87"/>
      <c r="R540" s="287"/>
      <c r="S540" s="342"/>
      <c r="T540" s="343"/>
      <c r="U540" s="198"/>
      <c r="V540" s="340"/>
      <c r="W540" s="340"/>
      <c r="X540" s="340"/>
      <c r="Y540" s="340"/>
      <c r="Z540" s="340"/>
      <c r="AA540" s="340"/>
      <c r="AB540" s="340"/>
      <c r="AC540" s="340"/>
      <c r="AD540" s="341"/>
    </row>
    <row r="541" spans="1:30" s="326" customFormat="1" ht="33" customHeight="1" x14ac:dyDescent="0.5">
      <c r="A541" s="331"/>
      <c r="B541" s="508"/>
      <c r="C541" s="245"/>
      <c r="D541" s="245"/>
      <c r="E541" s="332"/>
      <c r="F541" s="332"/>
      <c r="G541" s="51"/>
      <c r="H541" s="45"/>
      <c r="I541" s="286"/>
      <c r="J541" s="286"/>
      <c r="K541" s="286"/>
      <c r="L541" s="286"/>
      <c r="M541" s="369"/>
      <c r="N541" s="286"/>
      <c r="O541" s="45"/>
      <c r="P541" s="286"/>
      <c r="Q541" s="45"/>
      <c r="R541" s="286"/>
      <c r="S541" s="247" t="s">
        <v>0</v>
      </c>
      <c r="T541" s="248">
        <f xml:space="preserve"> SUM(H511:H542)-SUM($G511:$G542)</f>
        <v>0.20833333333333348</v>
      </c>
      <c r="U541" s="344"/>
      <c r="V541" s="340"/>
      <c r="W541" s="340"/>
      <c r="X541" s="340"/>
      <c r="Y541" s="340"/>
      <c r="Z541" s="340"/>
      <c r="AA541" s="340"/>
      <c r="AB541" s="340"/>
      <c r="AC541" s="340"/>
      <c r="AD541" s="341"/>
    </row>
    <row r="542" spans="1:30" s="326" customFormat="1" ht="33" customHeight="1" thickBot="1" x14ac:dyDescent="0.55000000000000004">
      <c r="A542" s="336"/>
      <c r="B542" s="509"/>
      <c r="C542" s="337"/>
      <c r="D542" s="337"/>
      <c r="E542" s="345"/>
      <c r="F542" s="345"/>
      <c r="G542" s="52"/>
      <c r="H542" s="46"/>
      <c r="I542" s="289"/>
      <c r="J542" s="289"/>
      <c r="K542" s="289"/>
      <c r="L542" s="289"/>
      <c r="M542" s="362"/>
      <c r="N542" s="289"/>
      <c r="O542" s="45"/>
      <c r="P542" s="289"/>
      <c r="Q542" s="46"/>
      <c r="R542" s="289"/>
      <c r="S542" s="339" t="s">
        <v>7</v>
      </c>
      <c r="T542" s="253">
        <f xml:space="preserve"> SUM(M511:M542)-SUM($J511:$J542)</f>
        <v>0.23124999999999996</v>
      </c>
      <c r="U542" s="344"/>
      <c r="V542" s="340"/>
      <c r="W542" s="340"/>
      <c r="X542" s="340"/>
      <c r="Y542" s="340"/>
      <c r="Z542" s="340"/>
      <c r="AA542" s="340"/>
      <c r="AB542" s="340"/>
      <c r="AC542" s="340"/>
      <c r="AD542" s="341"/>
    </row>
    <row r="543" spans="1:30" s="28" customFormat="1" ht="33" customHeight="1" x14ac:dyDescent="0.5">
      <c r="A543" s="67" t="s">
        <v>14</v>
      </c>
      <c r="B543" s="480" t="s">
        <v>18</v>
      </c>
      <c r="C543" s="105"/>
      <c r="D543" s="105"/>
      <c r="E543" s="89"/>
      <c r="F543" s="89"/>
      <c r="G543" s="90"/>
      <c r="H543" s="90"/>
      <c r="I543" s="364"/>
      <c r="J543" s="364"/>
      <c r="K543" s="364"/>
      <c r="L543" s="364"/>
      <c r="M543" s="364"/>
      <c r="N543" s="186"/>
      <c r="O543" s="86"/>
      <c r="P543" s="186"/>
      <c r="Q543" s="86"/>
      <c r="R543" s="186"/>
      <c r="S543" s="54"/>
      <c r="T543" s="91"/>
      <c r="U543" s="43"/>
      <c r="AD543" s="44"/>
    </row>
    <row r="544" spans="1:30" s="28" customFormat="1" ht="33" customHeight="1" x14ac:dyDescent="0.5">
      <c r="A544" s="68" t="s">
        <v>6</v>
      </c>
      <c r="B544" s="481"/>
      <c r="C544" s="30"/>
      <c r="D544" s="104"/>
      <c r="E544" s="92"/>
      <c r="F544" s="92"/>
      <c r="G544" s="93"/>
      <c r="H544" s="93"/>
      <c r="I544" s="365"/>
      <c r="J544" s="365"/>
      <c r="K544" s="365"/>
      <c r="L544" s="365"/>
      <c r="M544" s="365"/>
      <c r="N544" s="104"/>
      <c r="O544" s="85"/>
      <c r="P544" s="104"/>
      <c r="Q544" s="85"/>
      <c r="R544" s="104"/>
      <c r="S544" s="98" t="s">
        <v>182</v>
      </c>
      <c r="T544" s="94"/>
      <c r="U544" s="43"/>
      <c r="AD544" s="44"/>
    </row>
    <row r="545" spans="1:31" s="28" customFormat="1" ht="33" customHeight="1" x14ac:dyDescent="0.5">
      <c r="A545" s="68" t="s">
        <v>131</v>
      </c>
      <c r="B545" s="481"/>
      <c r="C545" s="30"/>
      <c r="D545" s="104"/>
      <c r="E545" s="92"/>
      <c r="F545" s="92"/>
      <c r="G545" s="93"/>
      <c r="H545" s="93"/>
      <c r="I545" s="365"/>
      <c r="J545" s="365"/>
      <c r="K545" s="365"/>
      <c r="L545" s="365"/>
      <c r="M545" s="365"/>
      <c r="N545" s="104"/>
      <c r="O545" s="85"/>
      <c r="P545" s="104"/>
      <c r="Q545" s="85"/>
      <c r="R545" s="104"/>
      <c r="S545" s="98"/>
      <c r="T545" s="94"/>
      <c r="U545" s="43"/>
      <c r="AD545" s="44"/>
    </row>
    <row r="546" spans="1:31" s="28" customFormat="1" ht="33" customHeight="1" x14ac:dyDescent="0.5">
      <c r="A546" s="106"/>
      <c r="B546" s="481"/>
      <c r="C546" s="106"/>
      <c r="D546" s="106"/>
      <c r="E546" s="15"/>
      <c r="F546" s="15"/>
      <c r="G546" s="106"/>
      <c r="H546" s="106"/>
      <c r="I546" s="106"/>
      <c r="J546" s="106"/>
      <c r="K546" s="106"/>
      <c r="L546" s="106"/>
      <c r="M546" s="106"/>
      <c r="N546" s="106"/>
      <c r="O546" s="16"/>
      <c r="P546" s="106"/>
      <c r="Q546" s="106"/>
      <c r="R546" s="106"/>
      <c r="S546" s="6" t="s">
        <v>0</v>
      </c>
      <c r="T546" s="19">
        <f xml:space="preserve"> SUM(H543:H547)-SUM($G543:$G547)</f>
        <v>0</v>
      </c>
      <c r="U546" s="36"/>
      <c r="AD546" s="44"/>
      <c r="AE546" s="29"/>
    </row>
    <row r="547" spans="1:31" s="28" customFormat="1" ht="33" customHeight="1" thickBot="1" x14ac:dyDescent="0.55000000000000004">
      <c r="A547" s="107"/>
      <c r="B547" s="482"/>
      <c r="C547" s="107"/>
      <c r="D547" s="107"/>
      <c r="E547" s="107"/>
      <c r="F547" s="107"/>
      <c r="G547" s="107"/>
      <c r="H547" s="107"/>
      <c r="I547" s="107"/>
      <c r="J547" s="107"/>
      <c r="K547" s="107"/>
      <c r="L547" s="107"/>
      <c r="M547" s="107"/>
      <c r="N547" s="107"/>
      <c r="O547" s="16"/>
      <c r="P547" s="107"/>
      <c r="Q547" s="107"/>
      <c r="R547" s="107"/>
      <c r="S547" s="23" t="s">
        <v>7</v>
      </c>
      <c r="T547" s="27">
        <f xml:space="preserve"> SUM(M543:M547)-SUM($J543:$J547)</f>
        <v>0</v>
      </c>
      <c r="U547" s="36"/>
      <c r="AD547" s="44"/>
      <c r="AE547" s="29"/>
    </row>
    <row r="548" spans="1:31" s="28" customFormat="1" ht="33" customHeight="1" x14ac:dyDescent="0.5">
      <c r="A548" s="69" t="s">
        <v>15</v>
      </c>
      <c r="B548" s="480" t="s">
        <v>18</v>
      </c>
      <c r="C548" s="105"/>
      <c r="D548" s="105"/>
      <c r="E548" s="89"/>
      <c r="F548" s="89"/>
      <c r="G548" s="90"/>
      <c r="H548" s="90"/>
      <c r="I548" s="364"/>
      <c r="J548" s="364"/>
      <c r="K548" s="364"/>
      <c r="L548" s="364"/>
      <c r="M548" s="364"/>
      <c r="N548" s="186"/>
      <c r="O548" s="86"/>
      <c r="P548" s="186"/>
      <c r="Q548" s="86"/>
      <c r="R548" s="186"/>
      <c r="S548" s="54"/>
      <c r="T548" s="91"/>
      <c r="U548" s="43"/>
      <c r="AD548" s="44"/>
    </row>
    <row r="549" spans="1:31" s="28" customFormat="1" ht="33" customHeight="1" x14ac:dyDescent="0.5">
      <c r="A549" s="70" t="s">
        <v>6</v>
      </c>
      <c r="B549" s="481"/>
      <c r="C549" s="106"/>
      <c r="D549" s="106"/>
      <c r="E549" s="92"/>
      <c r="F549" s="92"/>
      <c r="G549" s="93"/>
      <c r="H549" s="93"/>
      <c r="I549" s="365"/>
      <c r="J549" s="365"/>
      <c r="K549" s="365"/>
      <c r="L549" s="365"/>
      <c r="M549" s="365"/>
      <c r="N549" s="104"/>
      <c r="O549" s="85"/>
      <c r="P549" s="104"/>
      <c r="Q549" s="85"/>
      <c r="R549" s="104"/>
      <c r="S549" s="98" t="s">
        <v>182</v>
      </c>
      <c r="T549" s="94"/>
      <c r="U549" s="43"/>
      <c r="AD549" s="44"/>
    </row>
    <row r="550" spans="1:31" s="28" customFormat="1" ht="33" customHeight="1" x14ac:dyDescent="0.5">
      <c r="A550" s="70" t="s">
        <v>56</v>
      </c>
      <c r="B550" s="481"/>
      <c r="C550" s="106"/>
      <c r="D550" s="106"/>
      <c r="E550" s="92"/>
      <c r="F550" s="92"/>
      <c r="G550" s="93"/>
      <c r="H550" s="93"/>
      <c r="I550" s="365"/>
      <c r="J550" s="365"/>
      <c r="K550" s="365"/>
      <c r="L550" s="365"/>
      <c r="M550" s="365"/>
      <c r="N550" s="104"/>
      <c r="O550" s="85"/>
      <c r="P550" s="104"/>
      <c r="Q550" s="85"/>
      <c r="R550" s="104"/>
      <c r="S550" s="98"/>
      <c r="T550" s="94"/>
      <c r="U550" s="43"/>
      <c r="AD550" s="44"/>
    </row>
    <row r="551" spans="1:31" s="28" customFormat="1" ht="33" customHeight="1" x14ac:dyDescent="0.5">
      <c r="A551" s="70"/>
      <c r="B551" s="481"/>
      <c r="C551" s="106"/>
      <c r="D551" s="106"/>
      <c r="E551" s="17"/>
      <c r="F551" s="17"/>
      <c r="G551" s="18"/>
      <c r="H551" s="16"/>
      <c r="I551" s="106"/>
      <c r="J551" s="106"/>
      <c r="K551" s="106"/>
      <c r="L551" s="106"/>
      <c r="M551" s="371"/>
      <c r="N551" s="371"/>
      <c r="O551" s="16"/>
      <c r="P551" s="106"/>
      <c r="Q551" s="16"/>
      <c r="R551" s="106"/>
      <c r="S551" s="6" t="s">
        <v>0</v>
      </c>
      <c r="T551" s="19">
        <f xml:space="preserve"> SUM(H548:H552)-SUM($G548:$G552)</f>
        <v>0</v>
      </c>
      <c r="U551" s="36"/>
      <c r="AD551" s="44"/>
    </row>
    <row r="552" spans="1:31" s="28" customFormat="1" ht="32.25" customHeight="1" thickBot="1" x14ac:dyDescent="0.55000000000000004">
      <c r="A552" s="71"/>
      <c r="B552" s="482"/>
      <c r="C552" s="106"/>
      <c r="D552" s="107"/>
      <c r="E552" s="20"/>
      <c r="F552" s="20"/>
      <c r="G552" s="21"/>
      <c r="H552" s="21"/>
      <c r="I552" s="107"/>
      <c r="J552" s="107"/>
      <c r="K552" s="107"/>
      <c r="L552" s="107"/>
      <c r="M552" s="107"/>
      <c r="N552" s="107"/>
      <c r="O552" s="16"/>
      <c r="P552" s="107"/>
      <c r="Q552" s="21"/>
      <c r="R552" s="107"/>
      <c r="S552" s="23" t="s">
        <v>7</v>
      </c>
      <c r="T552" s="27">
        <f xml:space="preserve"> SUM(M548:M552)-SUM($J548:$J552)</f>
        <v>0</v>
      </c>
      <c r="U552" s="36"/>
      <c r="AD552" s="44"/>
    </row>
    <row r="553" spans="1:31" s="28" customFormat="1" ht="32.25" customHeight="1" x14ac:dyDescent="0.5">
      <c r="A553" s="69" t="s">
        <v>44</v>
      </c>
      <c r="B553" s="498" t="s">
        <v>18</v>
      </c>
      <c r="C553" s="105"/>
      <c r="D553" s="105"/>
      <c r="E553" s="89"/>
      <c r="F553" s="89"/>
      <c r="G553" s="90"/>
      <c r="H553" s="90"/>
      <c r="I553" s="364"/>
      <c r="J553" s="364"/>
      <c r="K553" s="364"/>
      <c r="L553" s="364"/>
      <c r="M553" s="364"/>
      <c r="N553" s="186"/>
      <c r="O553" s="86"/>
      <c r="P553" s="186"/>
      <c r="Q553" s="86"/>
      <c r="R553" s="186"/>
      <c r="S553" s="54"/>
      <c r="T553" s="91"/>
      <c r="U553" s="43"/>
      <c r="AD553" s="44"/>
    </row>
    <row r="554" spans="1:31" s="28" customFormat="1" ht="32.25" customHeight="1" x14ac:dyDescent="0.5">
      <c r="A554" s="70" t="s">
        <v>6</v>
      </c>
      <c r="B554" s="499"/>
      <c r="C554" s="106"/>
      <c r="D554" s="106"/>
      <c r="E554" s="92"/>
      <c r="F554" s="92"/>
      <c r="G554" s="93"/>
      <c r="H554" s="93"/>
      <c r="I554" s="365"/>
      <c r="J554" s="365"/>
      <c r="K554" s="365"/>
      <c r="L554" s="365"/>
      <c r="M554" s="365"/>
      <c r="N554" s="104"/>
      <c r="O554" s="85"/>
      <c r="P554" s="104"/>
      <c r="Q554" s="85"/>
      <c r="R554" s="104"/>
      <c r="S554" s="98" t="s">
        <v>182</v>
      </c>
      <c r="T554" s="94"/>
      <c r="U554" s="43"/>
      <c r="AD554" s="44"/>
    </row>
    <row r="555" spans="1:31" s="28" customFormat="1" ht="32.25" customHeight="1" x14ac:dyDescent="0.5">
      <c r="A555" s="70" t="s">
        <v>69</v>
      </c>
      <c r="B555" s="499"/>
      <c r="C555" s="106"/>
      <c r="D555" s="106"/>
      <c r="E555" s="92"/>
      <c r="F555" s="92"/>
      <c r="G555" s="93"/>
      <c r="H555" s="93"/>
      <c r="I555" s="365"/>
      <c r="J555" s="365"/>
      <c r="K555" s="365"/>
      <c r="L555" s="365"/>
      <c r="M555" s="365"/>
      <c r="N555" s="104"/>
      <c r="O555" s="85"/>
      <c r="P555" s="104"/>
      <c r="Q555" s="85"/>
      <c r="R555" s="104"/>
      <c r="S555" s="98"/>
      <c r="T555" s="94"/>
      <c r="U555" s="43"/>
      <c r="AD555" s="44"/>
    </row>
    <row r="556" spans="1:31" s="28" customFormat="1" ht="32.25" customHeight="1" x14ac:dyDescent="0.5">
      <c r="A556" s="70"/>
      <c r="B556" s="499"/>
      <c r="C556" s="30"/>
      <c r="D556" s="49"/>
      <c r="E556" s="17"/>
      <c r="F556" s="17"/>
      <c r="G556" s="24"/>
      <c r="H556" s="24"/>
      <c r="I556" s="376"/>
      <c r="J556" s="376"/>
      <c r="K556" s="376"/>
      <c r="L556" s="376"/>
      <c r="M556" s="376"/>
      <c r="N556" s="371"/>
      <c r="O556" s="16"/>
      <c r="P556" s="106"/>
      <c r="Q556" s="16"/>
      <c r="R556" s="385"/>
      <c r="S556" s="6" t="s">
        <v>0</v>
      </c>
      <c r="T556" s="19">
        <f xml:space="preserve"> SUM(H553:H557)-SUM($G553:$G557)</f>
        <v>0</v>
      </c>
      <c r="U556" s="36"/>
      <c r="AD556" s="44"/>
    </row>
    <row r="557" spans="1:31" s="28" customFormat="1" ht="32.25" customHeight="1" thickBot="1" x14ac:dyDescent="0.55000000000000004">
      <c r="A557" s="71"/>
      <c r="B557" s="500"/>
      <c r="C557" s="107"/>
      <c r="D557" s="50"/>
      <c r="E557" s="20"/>
      <c r="F557" s="20"/>
      <c r="G557" s="22"/>
      <c r="H557" s="22"/>
      <c r="I557" s="372"/>
      <c r="J557" s="372"/>
      <c r="K557" s="372"/>
      <c r="L557" s="372"/>
      <c r="M557" s="372"/>
      <c r="N557" s="372"/>
      <c r="O557" s="21"/>
      <c r="P557" s="107"/>
      <c r="Q557" s="21"/>
      <c r="R557" s="107"/>
      <c r="S557" s="23" t="s">
        <v>7</v>
      </c>
      <c r="T557" s="27">
        <f xml:space="preserve"> SUM(M553:M557)-SUM($J553:$J557)</f>
        <v>0</v>
      </c>
      <c r="U557" s="36"/>
      <c r="AD557" s="44"/>
    </row>
    <row r="558" spans="1:31" s="229" customFormat="1" ht="32.25" customHeight="1" x14ac:dyDescent="0.5">
      <c r="A558" s="254" t="s">
        <v>288</v>
      </c>
      <c r="B558" s="560" t="s">
        <v>1</v>
      </c>
      <c r="C558" s="284"/>
      <c r="D558" s="284"/>
      <c r="E558" s="546"/>
      <c r="F558" s="546"/>
      <c r="G558" s="547"/>
      <c r="H558" s="547"/>
      <c r="I558" s="359"/>
      <c r="J558" s="359"/>
      <c r="K558" s="359"/>
      <c r="L558" s="359"/>
      <c r="M558" s="359"/>
      <c r="N558" s="381"/>
      <c r="O558" s="548"/>
      <c r="P558" s="381"/>
      <c r="Q558" s="548"/>
      <c r="R558" s="381"/>
      <c r="S558" s="196" t="s">
        <v>301</v>
      </c>
      <c r="T558" s="549"/>
      <c r="AD558" s="230"/>
    </row>
    <row r="559" spans="1:31" s="229" customFormat="1" ht="32.25" customHeight="1" x14ac:dyDescent="0.5">
      <c r="A559" s="258" t="s">
        <v>289</v>
      </c>
      <c r="B559" s="561"/>
      <c r="C559" s="286"/>
      <c r="D559" s="286"/>
      <c r="E559" s="516"/>
      <c r="F559" s="516"/>
      <c r="G559" s="537"/>
      <c r="H559" s="537"/>
      <c r="I559" s="360"/>
      <c r="J559" s="360"/>
      <c r="K559" s="360"/>
      <c r="L559" s="360"/>
      <c r="M559" s="360"/>
      <c r="N559" s="287"/>
      <c r="O559" s="538"/>
      <c r="P559" s="287"/>
      <c r="Q559" s="538"/>
      <c r="R559" s="287"/>
      <c r="S559" s="539" t="s">
        <v>290</v>
      </c>
      <c r="T559" s="134"/>
      <c r="AD559" s="230"/>
    </row>
    <row r="560" spans="1:31" s="229" customFormat="1" ht="32.25" customHeight="1" x14ac:dyDescent="0.5">
      <c r="A560" s="258">
        <v>130611</v>
      </c>
      <c r="B560" s="561"/>
      <c r="C560" s="286"/>
      <c r="D560" s="286"/>
      <c r="E560" s="516"/>
      <c r="F560" s="516"/>
      <c r="G560" s="537"/>
      <c r="H560" s="537"/>
      <c r="I560" s="537"/>
      <c r="J560" s="537"/>
      <c r="K560" s="537"/>
      <c r="L560" s="537"/>
      <c r="M560" s="537"/>
      <c r="N560" s="538"/>
      <c r="O560" s="538"/>
      <c r="P560" s="538"/>
      <c r="Q560" s="538"/>
      <c r="R560" s="538"/>
      <c r="S560" s="539"/>
      <c r="T560" s="531"/>
      <c r="AD560" s="230"/>
    </row>
    <row r="561" spans="1:30" s="229" customFormat="1" ht="32.25" customHeight="1" x14ac:dyDescent="0.5">
      <c r="A561" s="285"/>
      <c r="B561" s="561"/>
      <c r="C561" s="245" t="s">
        <v>331</v>
      </c>
      <c r="D561" s="540" t="s">
        <v>43</v>
      </c>
      <c r="E561" s="563" t="s">
        <v>35</v>
      </c>
      <c r="F561" s="563" t="s">
        <v>38</v>
      </c>
      <c r="G561" s="108">
        <v>0.45833333333333331</v>
      </c>
      <c r="H561" s="108">
        <v>0.5</v>
      </c>
      <c r="I561" s="365">
        <v>0.43333333333333335</v>
      </c>
      <c r="J561" s="365">
        <v>0.43680555555555556</v>
      </c>
      <c r="K561" s="365">
        <v>0.44305555555555554</v>
      </c>
      <c r="L561" s="365">
        <v>0.49027777777777776</v>
      </c>
      <c r="M561" s="365">
        <v>0.49930555555555556</v>
      </c>
      <c r="N561" s="365">
        <f t="shared" ref="N561" si="15">SUM(M561-J561)</f>
        <v>6.25E-2</v>
      </c>
      <c r="O561" s="87" t="s">
        <v>48</v>
      </c>
      <c r="P561" s="104" t="s">
        <v>48</v>
      </c>
      <c r="Q561" s="87" t="s">
        <v>48</v>
      </c>
      <c r="R561" s="104" t="s">
        <v>48</v>
      </c>
      <c r="S561" s="342" t="s">
        <v>332</v>
      </c>
      <c r="T561" s="541"/>
      <c r="AD561" s="513"/>
    </row>
    <row r="562" spans="1:30" s="229" customFormat="1" ht="32.25" customHeight="1" x14ac:dyDescent="0.5">
      <c r="A562" s="285"/>
      <c r="B562" s="561"/>
      <c r="C562" s="286"/>
      <c r="D562" s="542"/>
      <c r="E562" s="516"/>
      <c r="F562" s="516"/>
      <c r="G562" s="537"/>
      <c r="H562" s="537"/>
      <c r="I562" s="537"/>
      <c r="J562" s="537"/>
      <c r="K562" s="537"/>
      <c r="L562" s="537"/>
      <c r="M562" s="537"/>
      <c r="N562" s="538"/>
      <c r="O562" s="538"/>
      <c r="P562" s="538"/>
      <c r="Q562" s="538"/>
      <c r="R562" s="538"/>
      <c r="S562" s="539"/>
      <c r="T562" s="531"/>
      <c r="AD562" s="513"/>
    </row>
    <row r="563" spans="1:30" s="229" customFormat="1" ht="32.25" customHeight="1" x14ac:dyDescent="0.5">
      <c r="A563" s="285"/>
      <c r="B563" s="561"/>
      <c r="C563" s="286"/>
      <c r="D563" s="542"/>
      <c r="E563" s="516"/>
      <c r="F563" s="516"/>
      <c r="G563" s="537"/>
      <c r="H563" s="537"/>
      <c r="I563" s="537"/>
      <c r="J563" s="537"/>
      <c r="K563" s="537"/>
      <c r="L563" s="537"/>
      <c r="M563" s="537"/>
      <c r="N563" s="538"/>
      <c r="O563" s="538"/>
      <c r="P563" s="538"/>
      <c r="Q563" s="538"/>
      <c r="R563" s="538"/>
      <c r="S563" s="146" t="s">
        <v>73</v>
      </c>
      <c r="T563" s="543"/>
      <c r="AD563" s="513"/>
    </row>
    <row r="564" spans="1:30" s="229" customFormat="1" ht="32.25" customHeight="1" x14ac:dyDescent="0.5">
      <c r="A564" s="285"/>
      <c r="B564" s="561"/>
      <c r="C564" s="286"/>
      <c r="D564" s="542"/>
      <c r="E564" s="516"/>
      <c r="F564" s="516"/>
      <c r="G564" s="537"/>
      <c r="H564" s="537"/>
      <c r="I564" s="537"/>
      <c r="J564" s="537"/>
      <c r="K564" s="537"/>
      <c r="L564" s="537"/>
      <c r="M564" s="537"/>
      <c r="N564" s="538"/>
      <c r="O564" s="538"/>
      <c r="P564" s="538"/>
      <c r="Q564" s="538"/>
      <c r="R564" s="538"/>
      <c r="S564" s="207" t="s">
        <v>74</v>
      </c>
      <c r="T564" s="544"/>
      <c r="AD564" s="513"/>
    </row>
    <row r="565" spans="1:30" s="229" customFormat="1" ht="32.25" customHeight="1" x14ac:dyDescent="0.5">
      <c r="A565" s="285"/>
      <c r="B565" s="561"/>
      <c r="C565" s="286"/>
      <c r="D565" s="542"/>
      <c r="E565" s="516"/>
      <c r="F565" s="516"/>
      <c r="G565" s="537"/>
      <c r="H565" s="537"/>
      <c r="I565" s="537"/>
      <c r="J565" s="537"/>
      <c r="K565" s="537"/>
      <c r="L565" s="537"/>
      <c r="M565" s="537"/>
      <c r="N565" s="538"/>
      <c r="O565" s="538"/>
      <c r="P565" s="538"/>
      <c r="Q565" s="538"/>
      <c r="R565" s="538"/>
      <c r="S565" s="207" t="s">
        <v>75</v>
      </c>
      <c r="T565" s="544"/>
      <c r="AD565" s="513"/>
    </row>
    <row r="566" spans="1:30" s="229" customFormat="1" ht="32.25" customHeight="1" x14ac:dyDescent="0.5">
      <c r="A566" s="285"/>
      <c r="B566" s="561"/>
      <c r="C566" s="286"/>
      <c r="D566" s="542"/>
      <c r="E566" s="516"/>
      <c r="F566" s="516"/>
      <c r="G566" s="537"/>
      <c r="H566" s="537"/>
      <c r="I566" s="537"/>
      <c r="J566" s="537"/>
      <c r="K566" s="537"/>
      <c r="L566" s="537"/>
      <c r="M566" s="537"/>
      <c r="N566" s="538"/>
      <c r="O566" s="538"/>
      <c r="P566" s="538"/>
      <c r="Q566" s="538"/>
      <c r="R566" s="538"/>
      <c r="S566" s="208" t="s">
        <v>76</v>
      </c>
      <c r="T566" s="544"/>
      <c r="AD566" s="513"/>
    </row>
    <row r="567" spans="1:30" s="229" customFormat="1" ht="32.25" customHeight="1" x14ac:dyDescent="0.5">
      <c r="A567" s="285"/>
      <c r="B567" s="561"/>
      <c r="C567" s="286"/>
      <c r="D567" s="542"/>
      <c r="E567" s="516"/>
      <c r="F567" s="516"/>
      <c r="G567" s="537"/>
      <c r="H567" s="537"/>
      <c r="I567" s="537"/>
      <c r="J567" s="537"/>
      <c r="K567" s="537"/>
      <c r="L567" s="537"/>
      <c r="M567" s="537"/>
      <c r="N567" s="538"/>
      <c r="O567" s="538"/>
      <c r="P567" s="538"/>
      <c r="Q567" s="538"/>
      <c r="R567" s="538"/>
      <c r="S567" s="209" t="s">
        <v>77</v>
      </c>
      <c r="T567" s="544"/>
      <c r="AD567" s="513"/>
    </row>
    <row r="568" spans="1:30" s="229" customFormat="1" ht="32.25" customHeight="1" x14ac:dyDescent="0.5">
      <c r="A568" s="285"/>
      <c r="B568" s="561"/>
      <c r="C568" s="286"/>
      <c r="D568" s="542"/>
      <c r="E568" s="516"/>
      <c r="F568" s="516"/>
      <c r="G568" s="537"/>
      <c r="H568" s="537"/>
      <c r="I568" s="537"/>
      <c r="J568" s="537"/>
      <c r="K568" s="537"/>
      <c r="L568" s="537"/>
      <c r="M568" s="537"/>
      <c r="N568" s="538"/>
      <c r="O568" s="538"/>
      <c r="P568" s="538"/>
      <c r="Q568" s="538"/>
      <c r="R568" s="538"/>
      <c r="S568" s="209" t="s">
        <v>78</v>
      </c>
      <c r="T568" s="544"/>
      <c r="AD568" s="513"/>
    </row>
    <row r="569" spans="1:30" s="229" customFormat="1" ht="32.25" customHeight="1" x14ac:dyDescent="0.5">
      <c r="A569" s="285"/>
      <c r="B569" s="561"/>
      <c r="C569" s="286"/>
      <c r="D569" s="542"/>
      <c r="E569" s="516"/>
      <c r="F569" s="516"/>
      <c r="G569" s="537"/>
      <c r="H569" s="537"/>
      <c r="I569" s="537"/>
      <c r="J569" s="537"/>
      <c r="K569" s="537"/>
      <c r="L569" s="537"/>
      <c r="M569" s="537"/>
      <c r="N569" s="538"/>
      <c r="O569" s="538"/>
      <c r="P569" s="538"/>
      <c r="Q569" s="538"/>
      <c r="R569" s="538"/>
      <c r="S569" s="208" t="s">
        <v>168</v>
      </c>
      <c r="T569" s="545"/>
      <c r="AD569" s="513"/>
    </row>
    <row r="570" spans="1:30" s="229" customFormat="1" ht="32.25" customHeight="1" x14ac:dyDescent="0.5">
      <c r="A570" s="285"/>
      <c r="B570" s="561"/>
      <c r="C570" s="286"/>
      <c r="D570" s="542"/>
      <c r="E570" s="516"/>
      <c r="F570" s="516"/>
      <c r="G570" s="537"/>
      <c r="H570" s="537"/>
      <c r="I570" s="537"/>
      <c r="J570" s="537"/>
      <c r="K570" s="537"/>
      <c r="L570" s="537"/>
      <c r="M570" s="537"/>
      <c r="N570" s="538"/>
      <c r="O570" s="538"/>
      <c r="P570" s="538"/>
      <c r="Q570" s="538"/>
      <c r="R570" s="538"/>
      <c r="S570" s="210" t="s">
        <v>169</v>
      </c>
      <c r="T570" s="545"/>
      <c r="AD570" s="513"/>
    </row>
    <row r="571" spans="1:30" s="229" customFormat="1" ht="32.25" customHeight="1" x14ac:dyDescent="0.5">
      <c r="A571" s="285"/>
      <c r="B571" s="561"/>
      <c r="C571" s="286"/>
      <c r="D571" s="542"/>
      <c r="E571" s="516"/>
      <c r="F571" s="516"/>
      <c r="G571" s="537"/>
      <c r="H571" s="537"/>
      <c r="I571" s="537"/>
      <c r="J571" s="537"/>
      <c r="K571" s="537"/>
      <c r="L571" s="537"/>
      <c r="M571" s="537"/>
      <c r="N571" s="538"/>
      <c r="O571" s="538"/>
      <c r="P571" s="538"/>
      <c r="Q571" s="538"/>
      <c r="R571" s="538"/>
      <c r="S571" s="210" t="s">
        <v>170</v>
      </c>
      <c r="T571" s="545"/>
      <c r="AD571" s="513"/>
    </row>
    <row r="572" spans="1:30" s="229" customFormat="1" ht="32.25" customHeight="1" x14ac:dyDescent="0.5">
      <c r="A572" s="285"/>
      <c r="B572" s="561"/>
      <c r="C572" s="286"/>
      <c r="D572" s="542"/>
      <c r="E572" s="516"/>
      <c r="F572" s="516"/>
      <c r="G572" s="537"/>
      <c r="H572" s="537"/>
      <c r="I572" s="537"/>
      <c r="J572" s="537"/>
      <c r="K572" s="537"/>
      <c r="L572" s="537"/>
      <c r="M572" s="537"/>
      <c r="N572" s="538"/>
      <c r="O572" s="538"/>
      <c r="P572" s="538"/>
      <c r="Q572" s="538"/>
      <c r="R572" s="538"/>
      <c r="S572" s="210" t="s">
        <v>171</v>
      </c>
      <c r="T572" s="545"/>
      <c r="AD572" s="513"/>
    </row>
    <row r="573" spans="1:30" s="229" customFormat="1" ht="32.25" customHeight="1" x14ac:dyDescent="0.5">
      <c r="A573" s="285"/>
      <c r="B573" s="561"/>
      <c r="C573" s="286"/>
      <c r="D573" s="542"/>
      <c r="E573" s="516"/>
      <c r="F573" s="516"/>
      <c r="G573" s="537"/>
      <c r="H573" s="537"/>
      <c r="I573" s="537"/>
      <c r="J573" s="537"/>
      <c r="K573" s="537"/>
      <c r="L573" s="537"/>
      <c r="M573" s="537"/>
      <c r="N573" s="538"/>
      <c r="O573" s="538"/>
      <c r="P573" s="538"/>
      <c r="Q573" s="538"/>
      <c r="R573" s="538"/>
      <c r="S573" s="208" t="s">
        <v>175</v>
      </c>
      <c r="T573" s="540"/>
      <c r="AD573" s="513"/>
    </row>
    <row r="574" spans="1:30" s="229" customFormat="1" ht="32.25" customHeight="1" x14ac:dyDescent="0.5">
      <c r="A574" s="285"/>
      <c r="B574" s="561"/>
      <c r="C574" s="286"/>
      <c r="D574" s="542"/>
      <c r="E574" s="516"/>
      <c r="F574" s="516"/>
      <c r="G574" s="537"/>
      <c r="H574" s="537"/>
      <c r="I574" s="537"/>
      <c r="J574" s="537"/>
      <c r="K574" s="537"/>
      <c r="L574" s="537"/>
      <c r="M574" s="537"/>
      <c r="N574" s="538"/>
      <c r="O574" s="538"/>
      <c r="P574" s="538"/>
      <c r="Q574" s="538"/>
      <c r="R574" s="538"/>
      <c r="S574" s="208" t="s">
        <v>176</v>
      </c>
      <c r="T574" s="540"/>
      <c r="AD574" s="513"/>
    </row>
    <row r="575" spans="1:30" s="229" customFormat="1" ht="32.25" customHeight="1" x14ac:dyDescent="0.5">
      <c r="A575" s="285"/>
      <c r="B575" s="561"/>
      <c r="C575" s="286"/>
      <c r="D575" s="542"/>
      <c r="E575" s="516"/>
      <c r="F575" s="516"/>
      <c r="G575" s="537"/>
      <c r="H575" s="537"/>
      <c r="I575" s="537"/>
      <c r="J575" s="537"/>
      <c r="K575" s="537"/>
      <c r="L575" s="537"/>
      <c r="M575" s="537"/>
      <c r="N575" s="538"/>
      <c r="O575" s="538"/>
      <c r="P575" s="538"/>
      <c r="Q575" s="538"/>
      <c r="R575" s="538"/>
      <c r="S575" s="539"/>
      <c r="T575" s="531"/>
      <c r="AD575" s="513"/>
    </row>
    <row r="576" spans="1:30" s="229" customFormat="1" ht="32.25" customHeight="1" x14ac:dyDescent="0.5">
      <c r="A576" s="285"/>
      <c r="B576" s="561"/>
      <c r="C576" s="286"/>
      <c r="D576" s="542"/>
      <c r="E576" s="516"/>
      <c r="F576" s="516"/>
      <c r="G576" s="537"/>
      <c r="H576" s="537"/>
      <c r="I576" s="537"/>
      <c r="J576" s="537"/>
      <c r="K576" s="537"/>
      <c r="L576" s="537"/>
      <c r="M576" s="537"/>
      <c r="N576" s="538"/>
      <c r="O576" s="538"/>
      <c r="P576" s="538"/>
      <c r="Q576" s="538"/>
      <c r="R576" s="538"/>
      <c r="S576" s="146" t="s">
        <v>72</v>
      </c>
      <c r="T576" s="525" t="s">
        <v>342</v>
      </c>
      <c r="AD576" s="513"/>
    </row>
    <row r="577" spans="1:30" s="229" customFormat="1" ht="32.25" customHeight="1" x14ac:dyDescent="0.5">
      <c r="A577" s="285"/>
      <c r="B577" s="561"/>
      <c r="C577" s="286"/>
      <c r="D577" s="542"/>
      <c r="E577" s="516"/>
      <c r="F577" s="516"/>
      <c r="G577" s="537"/>
      <c r="H577" s="537"/>
      <c r="I577" s="537"/>
      <c r="J577" s="537"/>
      <c r="K577" s="537"/>
      <c r="L577" s="537"/>
      <c r="M577" s="537"/>
      <c r="N577" s="538"/>
      <c r="O577" s="538"/>
      <c r="P577" s="538"/>
      <c r="Q577" s="538"/>
      <c r="R577" s="538"/>
      <c r="S577" s="539"/>
      <c r="T577" s="531"/>
      <c r="AD577" s="513"/>
    </row>
    <row r="578" spans="1:30" s="229" customFormat="1" ht="32.25" customHeight="1" x14ac:dyDescent="0.5">
      <c r="A578" s="285"/>
      <c r="B578" s="561"/>
      <c r="C578" s="286"/>
      <c r="D578" s="542"/>
      <c r="E578" s="516"/>
      <c r="F578" s="516"/>
      <c r="G578" s="537"/>
      <c r="H578" s="537"/>
      <c r="I578" s="537"/>
      <c r="J578" s="537"/>
      <c r="K578" s="537"/>
      <c r="L578" s="537"/>
      <c r="M578" s="537"/>
      <c r="N578" s="538"/>
      <c r="O578" s="538"/>
      <c r="P578" s="538"/>
      <c r="Q578" s="538"/>
      <c r="R578" s="538"/>
      <c r="S578" s="539" t="s">
        <v>191</v>
      </c>
      <c r="T578" s="512" t="s">
        <v>190</v>
      </c>
      <c r="AD578" s="513"/>
    </row>
    <row r="579" spans="1:30" s="229" customFormat="1" ht="32.25" customHeight="1" x14ac:dyDescent="0.5">
      <c r="A579" s="285"/>
      <c r="B579" s="561"/>
      <c r="C579" s="286"/>
      <c r="D579" s="542"/>
      <c r="E579" s="516"/>
      <c r="F579" s="516"/>
      <c r="G579" s="537"/>
      <c r="H579" s="537"/>
      <c r="I579" s="537"/>
      <c r="J579" s="537"/>
      <c r="K579" s="537"/>
      <c r="L579" s="537"/>
      <c r="M579" s="537"/>
      <c r="N579" s="538"/>
      <c r="O579" s="538"/>
      <c r="P579" s="538"/>
      <c r="Q579" s="538"/>
      <c r="R579" s="538"/>
      <c r="S579" s="539"/>
      <c r="T579" s="531"/>
      <c r="AD579" s="513"/>
    </row>
    <row r="580" spans="1:30" s="229" customFormat="1" ht="32.25" customHeight="1" x14ac:dyDescent="0.5">
      <c r="A580" s="285"/>
      <c r="B580" s="561"/>
      <c r="C580" s="550"/>
      <c r="D580" s="551"/>
      <c r="E580" s="552"/>
      <c r="F580" s="552"/>
      <c r="G580" s="553"/>
      <c r="H580" s="553"/>
      <c r="I580" s="382"/>
      <c r="J580" s="382"/>
      <c r="K580" s="382"/>
      <c r="L580" s="382"/>
      <c r="M580" s="382"/>
      <c r="N580" s="369"/>
      <c r="O580" s="554"/>
      <c r="P580" s="286"/>
      <c r="Q580" s="554"/>
      <c r="R580" s="555"/>
      <c r="S580" s="216" t="s">
        <v>0</v>
      </c>
      <c r="T580" s="217">
        <f xml:space="preserve"> SUM(H558:H581)-SUM($G558:$G581)</f>
        <v>4.1666666666666685E-2</v>
      </c>
      <c r="AD580" s="230"/>
    </row>
    <row r="581" spans="1:30" s="229" customFormat="1" ht="32.25" customHeight="1" thickBot="1" x14ac:dyDescent="0.55000000000000004">
      <c r="A581" s="288"/>
      <c r="B581" s="562"/>
      <c r="C581" s="289"/>
      <c r="D581" s="556"/>
      <c r="E581" s="557"/>
      <c r="F581" s="557"/>
      <c r="G581" s="558"/>
      <c r="H581" s="558"/>
      <c r="I581" s="362"/>
      <c r="J581" s="362"/>
      <c r="K581" s="362"/>
      <c r="L581" s="362"/>
      <c r="M581" s="362"/>
      <c r="N581" s="362"/>
      <c r="O581" s="559"/>
      <c r="P581" s="289"/>
      <c r="Q581" s="559"/>
      <c r="R581" s="289"/>
      <c r="S581" s="222" t="s">
        <v>7</v>
      </c>
      <c r="T581" s="223">
        <f xml:space="preserve"> SUM(M558:M581)-SUM($J558:$J581)</f>
        <v>6.25E-2</v>
      </c>
      <c r="AD581" s="230"/>
    </row>
    <row r="582" spans="1:30" s="28" customFormat="1" ht="32.25" customHeight="1" x14ac:dyDescent="0.5">
      <c r="A582" s="149"/>
      <c r="B582" s="150"/>
      <c r="C582" s="151"/>
      <c r="D582" s="151"/>
      <c r="E582" s="152"/>
      <c r="F582" s="152"/>
      <c r="G582" s="153"/>
      <c r="H582" s="153"/>
      <c r="I582" s="377"/>
      <c r="J582" s="377"/>
      <c r="K582" s="377"/>
      <c r="L582" s="377"/>
      <c r="M582" s="377"/>
      <c r="N582" s="377"/>
      <c r="O582" s="153"/>
      <c r="P582" s="151"/>
      <c r="Q582" s="154"/>
      <c r="R582" s="151"/>
      <c r="S582" s="155"/>
      <c r="T582" s="156"/>
      <c r="AD582" s="44"/>
    </row>
    <row r="583" spans="1:30" s="28" customFormat="1" ht="32.25" customHeight="1" x14ac:dyDescent="0.5">
      <c r="A583" s="72"/>
      <c r="B583" s="157"/>
      <c r="C583" s="158"/>
      <c r="D583" s="158"/>
      <c r="E583" s="159"/>
      <c r="F583" s="159"/>
      <c r="G583" s="160"/>
      <c r="H583" s="160"/>
      <c r="I583" s="378"/>
      <c r="J583" s="378"/>
      <c r="K583" s="378"/>
      <c r="L583" s="378"/>
      <c r="M583" s="378"/>
      <c r="N583" s="378"/>
      <c r="O583" s="160"/>
      <c r="P583" s="158"/>
      <c r="Q583" s="161"/>
      <c r="R583" s="158"/>
      <c r="S583" s="162"/>
      <c r="T583" s="40"/>
      <c r="AD583" s="44"/>
    </row>
    <row r="584" spans="1:30" s="28" customFormat="1" ht="32.25" customHeight="1" x14ac:dyDescent="0.5">
      <c r="A584" s="72"/>
      <c r="B584" s="157"/>
      <c r="C584" s="158"/>
      <c r="D584" s="158"/>
      <c r="E584" s="159"/>
      <c r="F584" s="159"/>
      <c r="G584" s="160"/>
      <c r="H584" s="160"/>
      <c r="I584" s="378"/>
      <c r="J584" s="378"/>
      <c r="K584" s="378"/>
      <c r="L584" s="378"/>
      <c r="M584" s="378"/>
      <c r="N584" s="378"/>
      <c r="O584" s="160"/>
      <c r="P584" s="158"/>
      <c r="Q584" s="161"/>
      <c r="R584" s="158"/>
      <c r="S584" s="162"/>
      <c r="T584" s="40"/>
      <c r="AD584" s="44"/>
    </row>
    <row r="585" spans="1:30" s="28" customFormat="1" ht="32.25" customHeight="1" x14ac:dyDescent="0.5">
      <c r="A585" s="72"/>
      <c r="B585" s="157"/>
      <c r="C585" s="158"/>
      <c r="D585" s="158"/>
      <c r="E585" s="159"/>
      <c r="F585" s="159"/>
      <c r="G585" s="160"/>
      <c r="H585" s="160"/>
      <c r="I585" s="378"/>
      <c r="J585" s="378"/>
      <c r="K585" s="378"/>
      <c r="L585" s="378"/>
      <c r="M585" s="378"/>
      <c r="N585" s="378"/>
      <c r="O585" s="160"/>
      <c r="P585" s="158"/>
      <c r="Q585" s="161"/>
      <c r="R585" s="158"/>
      <c r="S585" s="162"/>
      <c r="T585" s="40"/>
      <c r="AD585" s="44"/>
    </row>
    <row r="586" spans="1:30" s="28" customFormat="1" ht="32.25" customHeight="1" x14ac:dyDescent="0.5">
      <c r="A586" s="72"/>
      <c r="B586" s="157"/>
      <c r="C586" s="158"/>
      <c r="D586" s="158"/>
      <c r="E586" s="159"/>
      <c r="F586" s="159"/>
      <c r="G586" s="160"/>
      <c r="H586" s="160"/>
      <c r="I586" s="378"/>
      <c r="J586" s="378"/>
      <c r="K586" s="378"/>
      <c r="L586" s="378"/>
      <c r="M586" s="378"/>
      <c r="N586" s="378"/>
      <c r="O586" s="160"/>
      <c r="P586" s="158"/>
      <c r="Q586" s="161"/>
      <c r="R586" s="158"/>
      <c r="S586" s="162"/>
      <c r="T586" s="40"/>
      <c r="AD586" s="44"/>
    </row>
    <row r="587" spans="1:30" s="28" customFormat="1" ht="32.25" customHeight="1" x14ac:dyDescent="0.5">
      <c r="A587" s="72"/>
      <c r="B587" s="157"/>
      <c r="C587" s="158"/>
      <c r="D587" s="158"/>
      <c r="E587" s="159"/>
      <c r="F587" s="159"/>
      <c r="G587" s="160"/>
      <c r="H587" s="160"/>
      <c r="I587" s="378"/>
      <c r="J587" s="378"/>
      <c r="K587" s="378"/>
      <c r="L587" s="378"/>
      <c r="M587" s="378"/>
      <c r="N587" s="378"/>
      <c r="O587" s="160"/>
      <c r="P587" s="158"/>
      <c r="Q587" s="161"/>
      <c r="R587" s="158"/>
      <c r="S587" s="162"/>
      <c r="T587" s="40"/>
      <c r="AD587" s="44"/>
    </row>
    <row r="588" spans="1:30" s="28" customFormat="1" ht="32.25" customHeight="1" x14ac:dyDescent="0.5">
      <c r="A588" s="72"/>
      <c r="B588" s="157"/>
      <c r="C588" s="158"/>
      <c r="D588" s="158"/>
      <c r="E588" s="159"/>
      <c r="F588" s="159"/>
      <c r="G588" s="160"/>
      <c r="H588" s="160"/>
      <c r="I588" s="378"/>
      <c r="J588" s="378"/>
      <c r="K588" s="378"/>
      <c r="L588" s="378"/>
      <c r="M588" s="378"/>
      <c r="N588" s="378"/>
      <c r="O588" s="160"/>
      <c r="P588" s="158"/>
      <c r="Q588" s="161"/>
      <c r="R588" s="158"/>
      <c r="S588" s="162"/>
      <c r="T588" s="40"/>
      <c r="AD588" s="44"/>
    </row>
    <row r="589" spans="1:30" s="28" customFormat="1" ht="32.25" customHeight="1" x14ac:dyDescent="0.5">
      <c r="A589" s="72"/>
      <c r="B589" s="157"/>
      <c r="C589" s="158"/>
      <c r="D589" s="158"/>
      <c r="E589" s="159"/>
      <c r="F589" s="159"/>
      <c r="G589" s="160"/>
      <c r="H589" s="160"/>
      <c r="I589" s="378"/>
      <c r="J589" s="378"/>
      <c r="K589" s="378"/>
      <c r="L589" s="378"/>
      <c r="M589" s="378"/>
      <c r="N589" s="378"/>
      <c r="O589" s="160"/>
      <c r="P589" s="158"/>
      <c r="Q589" s="161"/>
      <c r="R589" s="158"/>
      <c r="S589" s="162"/>
      <c r="T589" s="40"/>
      <c r="AD589" s="44"/>
    </row>
    <row r="590" spans="1:30" s="28" customFormat="1" ht="32.25" customHeight="1" x14ac:dyDescent="0.5">
      <c r="A590" s="72"/>
      <c r="B590" s="157"/>
      <c r="C590" s="157"/>
      <c r="D590" s="157"/>
      <c r="E590" s="163"/>
      <c r="F590" s="163"/>
      <c r="G590" s="164"/>
      <c r="H590" s="164"/>
      <c r="I590" s="378"/>
      <c r="J590" s="378"/>
      <c r="K590" s="378"/>
      <c r="L590" s="378"/>
      <c r="M590" s="378"/>
      <c r="N590" s="378"/>
      <c r="O590" s="165"/>
      <c r="P590" s="158"/>
      <c r="Q590" s="165"/>
      <c r="R590" s="158"/>
      <c r="S590" s="162"/>
      <c r="T590" s="40"/>
      <c r="AD590" s="44"/>
    </row>
    <row r="591" spans="1:30" s="28" customFormat="1" ht="32.25" customHeight="1" x14ac:dyDescent="0.5">
      <c r="A591" s="11" t="s">
        <v>292</v>
      </c>
      <c r="B591" s="162"/>
      <c r="C591" s="406"/>
      <c r="D591" s="162" t="s">
        <v>228</v>
      </c>
      <c r="F591" s="166"/>
      <c r="G591" s="167"/>
      <c r="H591" s="407"/>
      <c r="I591" s="408" t="s">
        <v>8</v>
      </c>
      <c r="J591" s="409"/>
      <c r="K591" s="358"/>
      <c r="L591" s="170"/>
      <c r="M591" s="170"/>
      <c r="N591" s="162" t="s">
        <v>227</v>
      </c>
      <c r="O591" s="162"/>
      <c r="P591" s="162"/>
      <c r="Q591" s="171"/>
      <c r="R591" s="29"/>
      <c r="S591" s="162" t="s">
        <v>183</v>
      </c>
      <c r="T591" s="2"/>
      <c r="AD591" s="44"/>
    </row>
    <row r="592" spans="1:30" s="28" customFormat="1" ht="32.25" customHeight="1" x14ac:dyDescent="0.5">
      <c r="A592" s="11" t="s">
        <v>293</v>
      </c>
      <c r="B592" s="162"/>
      <c r="C592" s="406"/>
      <c r="D592" s="162" t="s">
        <v>229</v>
      </c>
      <c r="F592" s="168"/>
      <c r="G592" s="169"/>
      <c r="H592" s="410"/>
      <c r="I592" s="411" t="s">
        <v>3</v>
      </c>
      <c r="J592" s="409"/>
      <c r="K592" s="358"/>
      <c r="L592" s="170"/>
      <c r="M592" s="170"/>
      <c r="N592" s="162" t="s">
        <v>230</v>
      </c>
      <c r="O592" s="162"/>
      <c r="P592" s="162"/>
      <c r="Q592" s="171"/>
      <c r="R592" s="29"/>
      <c r="S592" s="162" t="s">
        <v>174</v>
      </c>
      <c r="T592" s="39"/>
      <c r="AD592" s="44"/>
    </row>
    <row r="593" spans="1:30" s="28" customFormat="1" ht="32.25" customHeight="1" x14ac:dyDescent="0.5">
      <c r="A593" s="11" t="s">
        <v>294</v>
      </c>
      <c r="B593" s="162"/>
      <c r="C593" s="412"/>
      <c r="D593" s="174" t="s">
        <v>231</v>
      </c>
      <c r="F593" s="168"/>
      <c r="G593" s="172"/>
      <c r="H593" s="413"/>
      <c r="I593" s="177" t="s">
        <v>149</v>
      </c>
      <c r="J593" s="358"/>
      <c r="K593" s="358"/>
      <c r="L593" s="170"/>
      <c r="M593" s="170"/>
      <c r="N593" s="162" t="s">
        <v>295</v>
      </c>
      <c r="O593" s="162"/>
      <c r="P593" s="178"/>
      <c r="Q593" s="173"/>
      <c r="R593" s="29"/>
      <c r="S593" s="162" t="s">
        <v>296</v>
      </c>
      <c r="T593" s="39"/>
      <c r="AD593" s="44"/>
    </row>
    <row r="594" spans="1:30" s="28" customFormat="1" ht="32.25" customHeight="1" x14ac:dyDescent="0.5">
      <c r="A594" s="11" t="s">
        <v>297</v>
      </c>
      <c r="B594" s="162"/>
      <c r="C594" s="406"/>
      <c r="D594" s="162" t="s">
        <v>233</v>
      </c>
      <c r="E594" s="179"/>
      <c r="F594" s="175"/>
      <c r="G594" s="176"/>
      <c r="H594" s="414"/>
      <c r="I594" s="181" t="s">
        <v>9</v>
      </c>
      <c r="J594" s="358"/>
      <c r="K594" s="358"/>
      <c r="L594" s="170"/>
      <c r="M594" s="170"/>
      <c r="N594" s="162" t="s">
        <v>232</v>
      </c>
      <c r="O594" s="162"/>
      <c r="P594" s="174"/>
      <c r="Q594" s="171"/>
      <c r="R594" s="29"/>
      <c r="S594" s="162" t="s">
        <v>184</v>
      </c>
      <c r="T594" s="39"/>
      <c r="AD594" s="44"/>
    </row>
    <row r="595" spans="1:30" s="28" customFormat="1" ht="32.25" customHeight="1" x14ac:dyDescent="0.5">
      <c r="A595" s="7"/>
      <c r="B595" s="415"/>
      <c r="C595" s="416"/>
      <c r="D595" s="4"/>
      <c r="F595" s="179"/>
      <c r="G595" s="180"/>
      <c r="H595" s="417"/>
      <c r="I595" s="182" t="s">
        <v>298</v>
      </c>
      <c r="J595" s="358"/>
      <c r="K595" s="358"/>
      <c r="L595" s="358"/>
      <c r="M595" s="358"/>
      <c r="N595" s="25"/>
      <c r="O595" s="418"/>
      <c r="P595" s="419"/>
      <c r="Q595" s="420"/>
      <c r="R595" s="419"/>
      <c r="S595" s="421"/>
      <c r="T595" s="39"/>
      <c r="AD595" s="44"/>
    </row>
    <row r="596" spans="1:30" s="28" customFormat="1" ht="32.25" customHeight="1" x14ac:dyDescent="0.5">
      <c r="A596" s="7"/>
      <c r="B596" s="415"/>
      <c r="C596" s="416"/>
      <c r="D596" s="162"/>
      <c r="E596" s="179"/>
      <c r="F596" s="179"/>
      <c r="G596" s="180"/>
      <c r="H596" s="422"/>
      <c r="I596" s="423" t="s">
        <v>299</v>
      </c>
      <c r="J596" s="424"/>
      <c r="K596" s="425"/>
      <c r="L596" s="426"/>
      <c r="M596" s="427"/>
      <c r="N596" s="428"/>
      <c r="O596" s="429"/>
      <c r="P596" s="430"/>
      <c r="Q596" s="429"/>
      <c r="R596" s="431"/>
      <c r="T596" s="10"/>
      <c r="AD596" s="44"/>
    </row>
    <row r="597" spans="1:30" s="28" customFormat="1" ht="32.25" customHeight="1" thickBot="1" x14ac:dyDescent="0.55000000000000004">
      <c r="A597" s="432"/>
      <c r="B597" s="433"/>
      <c r="C597" s="434"/>
      <c r="D597" s="435"/>
      <c r="E597" s="436"/>
      <c r="F597" s="436"/>
      <c r="G597" s="183"/>
      <c r="H597" s="437" t="s">
        <v>17</v>
      </c>
      <c r="I597" s="438" t="s">
        <v>300</v>
      </c>
      <c r="J597" s="439"/>
      <c r="K597" s="440"/>
      <c r="L597" s="441"/>
      <c r="M597" s="441"/>
      <c r="N597" s="441"/>
      <c r="O597" s="442"/>
      <c r="P597" s="443"/>
      <c r="Q597" s="444"/>
      <c r="R597" s="431"/>
      <c r="S597" s="431"/>
      <c r="T597" s="10"/>
      <c r="AD597" s="44"/>
    </row>
    <row r="598" spans="1:30" s="229" customFormat="1" ht="32.25" customHeight="1" x14ac:dyDescent="0.5">
      <c r="B598" s="346"/>
      <c r="C598" s="347"/>
      <c r="D598" s="346"/>
      <c r="G598" s="37"/>
      <c r="H598" s="38"/>
      <c r="I598" s="379"/>
      <c r="J598" s="379"/>
      <c r="K598" s="379"/>
      <c r="L598" s="379"/>
      <c r="M598" s="379"/>
      <c r="N598" s="379"/>
      <c r="O598" s="26"/>
      <c r="P598" s="384"/>
      <c r="Q598" s="26"/>
      <c r="R598" s="384"/>
      <c r="S598" s="348"/>
      <c r="T598" s="190"/>
      <c r="AD598" s="230"/>
    </row>
    <row r="599" spans="1:30" s="229" customFormat="1" ht="32.25" customHeight="1" x14ac:dyDescent="0.5">
      <c r="B599" s="346"/>
      <c r="C599" s="347"/>
      <c r="D599" s="346"/>
      <c r="G599" s="37"/>
      <c r="H599" s="38"/>
      <c r="I599" s="379"/>
      <c r="J599" s="379"/>
      <c r="K599" s="379"/>
      <c r="L599" s="379"/>
      <c r="M599" s="379"/>
      <c r="N599" s="379"/>
      <c r="O599" s="26"/>
      <c r="P599" s="384"/>
      <c r="Q599" s="26"/>
      <c r="R599" s="384"/>
      <c r="S599" s="348"/>
      <c r="T599" s="190"/>
      <c r="AD599" s="230"/>
    </row>
    <row r="600" spans="1:30" s="229" customFormat="1" ht="32.25" customHeight="1" x14ac:dyDescent="0.5">
      <c r="B600" s="346"/>
      <c r="C600" s="347"/>
      <c r="D600" s="346"/>
      <c r="G600" s="37"/>
      <c r="H600" s="38"/>
      <c r="I600" s="379"/>
      <c r="J600" s="379"/>
      <c r="K600" s="379"/>
      <c r="L600" s="379"/>
      <c r="M600" s="379"/>
      <c r="N600" s="379"/>
      <c r="O600" s="26"/>
      <c r="P600" s="384"/>
      <c r="Q600" s="26"/>
      <c r="R600" s="384"/>
      <c r="S600" s="348"/>
      <c r="T600" s="190"/>
      <c r="AD600" s="230"/>
    </row>
    <row r="601" spans="1:30" s="229" customFormat="1" ht="32.25" customHeight="1" x14ac:dyDescent="0.5">
      <c r="B601" s="346"/>
      <c r="C601" s="347"/>
      <c r="D601" s="346"/>
      <c r="G601" s="37"/>
      <c r="H601" s="38"/>
      <c r="I601" s="379"/>
      <c r="J601" s="379"/>
      <c r="K601" s="379"/>
      <c r="L601" s="379"/>
      <c r="M601" s="379"/>
      <c r="N601" s="379"/>
      <c r="O601" s="26"/>
      <c r="P601" s="384"/>
      <c r="Q601" s="26"/>
      <c r="R601" s="384"/>
      <c r="S601" s="348"/>
      <c r="T601" s="190"/>
      <c r="AD601" s="230"/>
    </row>
    <row r="602" spans="1:30" s="229" customFormat="1" ht="32.25" customHeight="1" x14ac:dyDescent="0.5">
      <c r="B602" s="346"/>
      <c r="C602" s="347"/>
      <c r="D602" s="346"/>
      <c r="G602" s="37"/>
      <c r="H602" s="38"/>
      <c r="I602" s="379"/>
      <c r="J602" s="379"/>
      <c r="K602" s="379"/>
      <c r="L602" s="379"/>
      <c r="M602" s="379"/>
      <c r="N602" s="379"/>
      <c r="O602" s="26"/>
      <c r="P602" s="384"/>
      <c r="Q602" s="26"/>
      <c r="R602" s="384"/>
      <c r="S602" s="348"/>
      <c r="T602" s="190"/>
      <c r="AD602" s="230"/>
    </row>
    <row r="603" spans="1:30" s="229" customFormat="1" ht="32.25" customHeight="1" x14ac:dyDescent="0.5">
      <c r="B603" s="346"/>
      <c r="C603" s="347"/>
      <c r="D603" s="346"/>
      <c r="G603" s="37"/>
      <c r="H603" s="38"/>
      <c r="I603" s="379"/>
      <c r="J603" s="379"/>
      <c r="K603" s="379"/>
      <c r="L603" s="379"/>
      <c r="M603" s="379"/>
      <c r="N603" s="379"/>
      <c r="O603" s="26"/>
      <c r="P603" s="384"/>
      <c r="Q603" s="26"/>
      <c r="R603" s="384"/>
      <c r="S603" s="348"/>
      <c r="T603" s="190"/>
      <c r="AD603" s="230"/>
    </row>
    <row r="604" spans="1:30" s="229" customFormat="1" ht="32.25" customHeight="1" x14ac:dyDescent="0.5">
      <c r="B604" s="346"/>
      <c r="C604" s="347"/>
      <c r="D604" s="346"/>
      <c r="G604" s="37"/>
      <c r="H604" s="38"/>
      <c r="I604" s="379"/>
      <c r="J604" s="379"/>
      <c r="K604" s="379"/>
      <c r="L604" s="379"/>
      <c r="M604" s="379"/>
      <c r="N604" s="379"/>
      <c r="O604" s="26"/>
      <c r="P604" s="384"/>
      <c r="Q604" s="26"/>
      <c r="R604" s="384"/>
      <c r="S604" s="348"/>
      <c r="T604" s="190"/>
      <c r="AD604" s="230"/>
    </row>
    <row r="605" spans="1:30" s="229" customFormat="1" ht="32.25" customHeight="1" x14ac:dyDescent="0.5">
      <c r="B605" s="346"/>
      <c r="C605" s="347"/>
      <c r="D605" s="346"/>
      <c r="G605" s="37"/>
      <c r="H605" s="38"/>
      <c r="I605" s="379"/>
      <c r="J605" s="379"/>
      <c r="K605" s="379"/>
      <c r="L605" s="379"/>
      <c r="M605" s="379"/>
      <c r="N605" s="379"/>
      <c r="O605" s="26"/>
      <c r="P605" s="384"/>
      <c r="Q605" s="26"/>
      <c r="R605" s="384"/>
      <c r="S605" s="348"/>
      <c r="T605" s="190"/>
      <c r="AD605" s="230"/>
    </row>
    <row r="606" spans="1:30" s="229" customFormat="1" ht="32.25" customHeight="1" x14ac:dyDescent="0.5">
      <c r="B606" s="346"/>
      <c r="C606" s="347"/>
      <c r="D606" s="346"/>
      <c r="G606" s="37"/>
      <c r="H606" s="38"/>
      <c r="I606" s="379"/>
      <c r="J606" s="379"/>
      <c r="K606" s="379"/>
      <c r="L606" s="379"/>
      <c r="M606" s="379"/>
      <c r="N606" s="379"/>
      <c r="O606" s="26"/>
      <c r="P606" s="384"/>
      <c r="Q606" s="26"/>
      <c r="R606" s="384"/>
      <c r="S606" s="348"/>
      <c r="T606" s="190"/>
      <c r="AD606" s="230"/>
    </row>
    <row r="607" spans="1:30" s="229" customFormat="1" ht="32.25" customHeight="1" x14ac:dyDescent="0.5">
      <c r="B607" s="346"/>
      <c r="C607" s="347"/>
      <c r="D607" s="346"/>
      <c r="G607" s="37"/>
      <c r="H607" s="38"/>
      <c r="I607" s="379"/>
      <c r="J607" s="379"/>
      <c r="K607" s="379"/>
      <c r="L607" s="379"/>
      <c r="M607" s="379"/>
      <c r="N607" s="379"/>
      <c r="O607" s="26"/>
      <c r="P607" s="384"/>
      <c r="Q607" s="26"/>
      <c r="R607" s="384"/>
      <c r="S607" s="348"/>
      <c r="T607" s="190"/>
      <c r="AD607" s="230"/>
    </row>
    <row r="608" spans="1:30" s="229" customFormat="1" ht="32.25" customHeight="1" x14ac:dyDescent="0.5">
      <c r="B608" s="346"/>
      <c r="C608" s="347"/>
      <c r="D608" s="346"/>
      <c r="G608" s="37"/>
      <c r="H608" s="38"/>
      <c r="I608" s="379"/>
      <c r="J608" s="379"/>
      <c r="K608" s="379"/>
      <c r="L608" s="379"/>
      <c r="M608" s="379"/>
      <c r="N608" s="379"/>
      <c r="O608" s="26"/>
      <c r="P608" s="384"/>
      <c r="Q608" s="26"/>
      <c r="R608" s="384"/>
      <c r="S608" s="348"/>
      <c r="T608" s="190"/>
      <c r="AD608" s="230"/>
    </row>
    <row r="609" spans="2:30" s="229" customFormat="1" ht="32.25" customHeight="1" x14ac:dyDescent="0.5">
      <c r="B609" s="346"/>
      <c r="C609" s="347"/>
      <c r="D609" s="346"/>
      <c r="G609" s="37"/>
      <c r="H609" s="38"/>
      <c r="I609" s="379"/>
      <c r="J609" s="379"/>
      <c r="K609" s="379"/>
      <c r="L609" s="379"/>
      <c r="M609" s="379"/>
      <c r="N609" s="379"/>
      <c r="O609" s="26"/>
      <c r="P609" s="384"/>
      <c r="Q609" s="26"/>
      <c r="R609" s="384"/>
      <c r="S609" s="348"/>
      <c r="T609" s="190"/>
      <c r="AD609" s="230"/>
    </row>
    <row r="610" spans="2:30" s="229" customFormat="1" ht="32.25" customHeight="1" x14ac:dyDescent="0.5">
      <c r="B610" s="346"/>
      <c r="C610" s="347"/>
      <c r="D610" s="346"/>
      <c r="G610" s="37"/>
      <c r="H610" s="38"/>
      <c r="I610" s="379"/>
      <c r="J610" s="379"/>
      <c r="K610" s="379"/>
      <c r="L610" s="379"/>
      <c r="M610" s="379"/>
      <c r="N610" s="379"/>
      <c r="O610" s="26"/>
      <c r="P610" s="384"/>
      <c r="Q610" s="26"/>
      <c r="R610" s="384"/>
      <c r="S610" s="348"/>
      <c r="T610" s="190"/>
      <c r="AD610" s="230"/>
    </row>
    <row r="611" spans="2:30" s="229" customFormat="1" ht="32.25" customHeight="1" x14ac:dyDescent="0.5">
      <c r="B611" s="346"/>
      <c r="C611" s="347"/>
      <c r="D611" s="346"/>
      <c r="G611" s="37"/>
      <c r="H611" s="38"/>
      <c r="I611" s="379"/>
      <c r="J611" s="379"/>
      <c r="K611" s="379"/>
      <c r="L611" s="379"/>
      <c r="M611" s="379"/>
      <c r="N611" s="379"/>
      <c r="O611" s="26"/>
      <c r="P611" s="384"/>
      <c r="Q611" s="26"/>
      <c r="R611" s="384"/>
      <c r="S611" s="348"/>
      <c r="T611" s="190"/>
      <c r="U611" s="349"/>
      <c r="AD611" s="230"/>
    </row>
    <row r="612" spans="2:30" s="229" customFormat="1" ht="32.25" customHeight="1" x14ac:dyDescent="0.5">
      <c r="B612" s="346"/>
      <c r="C612" s="347"/>
      <c r="D612" s="346"/>
      <c r="G612" s="37"/>
      <c r="H612" s="38"/>
      <c r="I612" s="379"/>
      <c r="J612" s="379"/>
      <c r="K612" s="379"/>
      <c r="L612" s="379"/>
      <c r="M612" s="379"/>
      <c r="N612" s="379"/>
      <c r="O612" s="26"/>
      <c r="P612" s="384"/>
      <c r="Q612" s="26"/>
      <c r="R612" s="384"/>
      <c r="S612" s="348"/>
      <c r="T612" s="190"/>
      <c r="U612" s="349"/>
      <c r="AD612" s="230"/>
    </row>
    <row r="613" spans="2:30" s="229" customFormat="1" ht="32.25" customHeight="1" x14ac:dyDescent="0.5">
      <c r="B613" s="346"/>
      <c r="C613" s="347"/>
      <c r="D613" s="346"/>
      <c r="G613" s="37"/>
      <c r="H613" s="38"/>
      <c r="I613" s="379"/>
      <c r="J613" s="379"/>
      <c r="K613" s="379"/>
      <c r="L613" s="379"/>
      <c r="M613" s="379"/>
      <c r="N613" s="379"/>
      <c r="O613" s="26"/>
      <c r="P613" s="384"/>
      <c r="Q613" s="26"/>
      <c r="R613" s="384"/>
      <c r="S613" s="348"/>
      <c r="T613" s="190"/>
      <c r="U613" s="349"/>
      <c r="AD613" s="230"/>
    </row>
    <row r="614" spans="2:30" s="229" customFormat="1" ht="32.25" customHeight="1" x14ac:dyDescent="0.5">
      <c r="B614" s="346"/>
      <c r="C614" s="347"/>
      <c r="D614" s="346"/>
      <c r="G614" s="37"/>
      <c r="H614" s="38"/>
      <c r="I614" s="379"/>
      <c r="J614" s="379"/>
      <c r="K614" s="379"/>
      <c r="L614" s="379"/>
      <c r="M614" s="379"/>
      <c r="N614" s="379"/>
      <c r="O614" s="26"/>
      <c r="P614" s="384"/>
      <c r="Q614" s="26"/>
      <c r="R614" s="384"/>
      <c r="S614" s="348"/>
      <c r="T614" s="190"/>
      <c r="U614" s="349"/>
      <c r="AD614" s="230"/>
    </row>
    <row r="615" spans="2:30" s="229" customFormat="1" ht="32.25" customHeight="1" x14ac:dyDescent="0.5">
      <c r="B615" s="346"/>
      <c r="C615" s="347"/>
      <c r="D615" s="346"/>
      <c r="G615" s="37"/>
      <c r="H615" s="38"/>
      <c r="I615" s="379"/>
      <c r="J615" s="379"/>
      <c r="K615" s="379"/>
      <c r="L615" s="379"/>
      <c r="M615" s="379"/>
      <c r="N615" s="379"/>
      <c r="O615" s="26"/>
      <c r="P615" s="384"/>
      <c r="Q615" s="26"/>
      <c r="R615" s="384"/>
      <c r="S615" s="348"/>
      <c r="T615" s="190"/>
      <c r="AD615" s="230"/>
    </row>
  </sheetData>
  <mergeCells count="41">
    <mergeCell ref="B558:B581"/>
    <mergeCell ref="B553:B557"/>
    <mergeCell ref="B299:B303"/>
    <mergeCell ref="B405:B446"/>
    <mergeCell ref="B304:B308"/>
    <mergeCell ref="B543:B547"/>
    <mergeCell ref="B548:B552"/>
    <mergeCell ref="B511:B542"/>
    <mergeCell ref="B447:B478"/>
    <mergeCell ref="B479:B510"/>
    <mergeCell ref="B314:B363"/>
    <mergeCell ref="B207:B255"/>
    <mergeCell ref="B309:B313"/>
    <mergeCell ref="B364:B404"/>
    <mergeCell ref="Q9:R9"/>
    <mergeCell ref="B65:B69"/>
    <mergeCell ref="B179:B206"/>
    <mergeCell ref="B111:B141"/>
    <mergeCell ref="B174:B178"/>
    <mergeCell ref="B256:B298"/>
    <mergeCell ref="K9:K10"/>
    <mergeCell ref="B11:B34"/>
    <mergeCell ref="B35:B64"/>
    <mergeCell ref="B142:B173"/>
    <mergeCell ref="B70:B110"/>
    <mergeCell ref="A1:T5"/>
    <mergeCell ref="A6:T6"/>
    <mergeCell ref="A7:T7"/>
    <mergeCell ref="A8:T8"/>
    <mergeCell ref="A9:A10"/>
    <mergeCell ref="B9:B10"/>
    <mergeCell ref="C9:C10"/>
    <mergeCell ref="S9:T10"/>
    <mergeCell ref="H9:H10"/>
    <mergeCell ref="D9:D10"/>
    <mergeCell ref="F9:F10"/>
    <mergeCell ref="O9:P9"/>
    <mergeCell ref="L9:L10"/>
    <mergeCell ref="E9:E10"/>
    <mergeCell ref="G9:G10"/>
    <mergeCell ref="I9:I10"/>
  </mergeCells>
  <phoneticPr fontId="32" type="noConversion"/>
  <printOptions horizontalCentered="1"/>
  <pageMargins left="0.5" right="0" top="0.25" bottom="0.25" header="0" footer="0"/>
  <pageSetup paperSize="9" scale="20" fitToHeight="0" pageOrder="overThenDown" orientation="landscape" r:id="rId1"/>
  <headerFooter alignWithMargins="0">
    <oddFooter>&amp;C&amp;F</oddFooter>
  </headerFooter>
  <rowBreaks count="10" manualBreakCount="10">
    <brk id="69" max="19" man="1"/>
    <brk id="141" max="19" man="1"/>
    <brk id="206" max="19" man="1"/>
    <brk id="255" max="19" man="1"/>
    <brk id="298" max="19" man="1"/>
    <brk id="363" max="19" man="1"/>
    <brk id="404" max="19" man="1"/>
    <brk id="446" max="19" man="1"/>
    <brk id="510" max="19" man="1"/>
    <brk id="542" max="19" man="1"/>
  </rowBreaks>
  <colBreaks count="1" manualBreakCount="1">
    <brk id="19" max="514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UN Document v1" ma:contentTypeID="0x01010031965CA219EB9642ADF8B7E9195ED4F1002322A19E9A41BF4185F71A94AAAD1570" ma:contentTypeVersion="26" ma:contentTypeDescription="Create a new document." ma:contentTypeScope="" ma:versionID="f3686a66841fb8472e73ae13df0a4132">
  <xsd:schema xmlns:xsd="http://www.w3.org/2001/XMLSchema" xmlns:xs="http://www.w3.org/2001/XMLSchema" xmlns:p="http://schemas.microsoft.com/office/2006/metadata/properties" xmlns:ns3="29e0167d-fd43-45a0-9315-287f002da3de" xmlns:ns4="985ec44e-1bab-4c0b-9df0-6ba128686fc9" xmlns:ns5="be0813d3-517f-4512-8b08-898aab3d06c2" targetNamespace="http://schemas.microsoft.com/office/2006/metadata/properties" ma:root="true" ma:fieldsID="005aff1ce17f709e9b7ac4219d873bbd" ns3:_="" ns4:_="" ns5:_="">
    <xsd:import namespace="29e0167d-fd43-45a0-9315-287f002da3de"/>
    <xsd:import namespace="985ec44e-1bab-4c0b-9df0-6ba128686fc9"/>
    <xsd:import namespace="be0813d3-517f-4512-8b08-898aab3d06c2"/>
    <xsd:element name="properties">
      <xsd:complexType>
        <xsd:sequence>
          <xsd:element name="documentManagement">
            <xsd:complexType>
              <xsd:all>
                <xsd:element ref="ns3:DocumentDate"/>
                <xsd:element ref="ns4:Document_x0020_Type" minOccurs="0"/>
                <xsd:element ref="ns3:Addressee" minOccurs="0"/>
                <xsd:element ref="ns3:Sender" minOccurs="0"/>
                <xsd:element ref="ns3:Through" minOccurs="0"/>
                <xsd:element ref="ns3:ReceivedDate" minOccurs="0"/>
                <xsd:element ref="ns3:RelatedDocument" minOccurs="0"/>
                <xsd:element ref="ns3:Aggregation" minOccurs="0"/>
                <xsd:element ref="ns3:Subject_x0020__x0028_Keywords_x0029_" minOccurs="0"/>
                <xsd:element ref="ns3:UNDescription" minOccurs="0"/>
                <xsd:element ref="ns3:oc66d84e400e46a6b73f7e2de66cfc35" minOccurs="0"/>
                <xsd:element ref="ns4:gba66df640194346a5267c50f24d4797" minOccurs="0"/>
                <xsd:element ref="ns4:TaxCatchAll" minOccurs="0"/>
                <xsd:element ref="ns4:TaxCatchAllLabel" minOccurs="0"/>
                <xsd:element ref="ns3:ma44ce4a84c147b39c9941cdd32d2a94" minOccurs="0"/>
                <xsd:element ref="ns3:k680fbc910ec42afab63a021fe6bcb72" minOccurs="0"/>
                <xsd:element ref="ns3:fc8f36bf655c465fbd2a8002c91a011b" minOccurs="0"/>
                <xsd:element ref="ns3:SharedWithUsers" minOccurs="0"/>
                <xsd:element ref="ns3:SharedWithDetails" minOccurs="0"/>
                <xsd:element ref="ns5:MediaServiceMetadata" minOccurs="0"/>
                <xsd:element ref="ns5:MediaServiceFastMetadata" minOccurs="0"/>
                <xsd:element ref="ns5:MediaServiceAutoKeyPoints" minOccurs="0"/>
                <xsd:element ref="ns5:MediaServiceKeyPoints" minOccurs="0"/>
                <xsd:element ref="ns5:MediaServiceDateTaken" minOccurs="0"/>
                <xsd:element ref="ns5:MediaServiceAutoTags" minOccurs="0"/>
                <xsd:element ref="ns5:MediaServiceLocation" minOccurs="0"/>
                <xsd:element ref="ns5:MediaServiceGenerationTime" minOccurs="0"/>
                <xsd:element ref="ns5:MediaServiceEventHashCode" minOccurs="0"/>
                <xsd:element ref="ns5:MediaServiceOCR" minOccurs="0"/>
                <xsd:element ref="ns5:lcf76f155ced4ddcb4097134ff3c332f" minOccurs="0"/>
                <xsd:element ref="ns5:_x0032_1" minOccurs="0"/>
                <xsd:element ref="ns5:MediaServiceObjectDetectorVersions" minOccurs="0"/>
                <xsd:element ref="ns5:MediaLengthInSeconds" minOccurs="0"/>
                <xsd:element ref="ns5:MediaServiceSearchProperties" minOccurs="0"/>
                <xsd:element ref="ns5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e0167d-fd43-45a0-9315-287f002da3de" elementFormDefault="qualified">
    <xsd:import namespace="http://schemas.microsoft.com/office/2006/documentManagement/types"/>
    <xsd:import namespace="http://schemas.microsoft.com/office/infopath/2007/PartnerControls"/>
    <xsd:element name="DocumentDate" ma:index="3" ma:displayName="Document Date" ma:default="[today]" ma:description="Date, default is upload date" ma:format="DateOnly" ma:internalName="DocumentDate" ma:readOnly="false">
      <xsd:simpleType>
        <xsd:restriction base="dms:DateTime"/>
      </xsd:simpleType>
    </xsd:element>
    <xsd:element name="Addressee" ma:index="5" nillable="true" ma:displayName="Addressee" ma:internalName="Addressee" ma:readOnly="false">
      <xsd:simpleType>
        <xsd:restriction base="dms:Text">
          <xsd:maxLength value="255"/>
        </xsd:restriction>
      </xsd:simpleType>
    </xsd:element>
    <xsd:element name="Sender" ma:index="6" nillable="true" ma:displayName="Sender" ma:internalName="Sender" ma:readOnly="false">
      <xsd:simpleType>
        <xsd:restriction base="dms:Text">
          <xsd:maxLength value="255"/>
        </xsd:restriction>
      </xsd:simpleType>
    </xsd:element>
    <xsd:element name="Through" ma:index="7" nillable="true" ma:displayName="Through" ma:internalName="Through" ma:readOnly="false">
      <xsd:simpleType>
        <xsd:restriction base="dms:Text">
          <xsd:maxLength value="255"/>
        </xsd:restriction>
      </xsd:simpleType>
    </xsd:element>
    <xsd:element name="ReceivedDate" ma:index="8" nillable="true" ma:displayName="Received Date" ma:format="DateOnly" ma:internalName="ReceivedDate" ma:readOnly="false">
      <xsd:simpleType>
        <xsd:restriction base="dms:DateTime"/>
      </xsd:simpleType>
    </xsd:element>
    <xsd:element name="RelatedDocument" ma:index="9" nillable="true" ma:displayName="Related Document" ma:internalName="RelatedDocument" ma:readOnly="false">
      <xsd:simpleType>
        <xsd:restriction base="dms:Text">
          <xsd:maxLength value="255"/>
        </xsd:restriction>
      </xsd:simpleType>
    </xsd:element>
    <xsd:element name="Aggregation" ma:index="10" nillable="true" ma:displayName="Aggregation" ma:internalName="Aggregation" ma:readOnly="false">
      <xsd:simpleType>
        <xsd:restriction base="dms:Text">
          <xsd:maxLength value="255"/>
        </xsd:restriction>
      </xsd:simpleType>
    </xsd:element>
    <xsd:element name="Subject_x0020__x0028_Keywords_x0029_" ma:index="12" nillable="true" ma:displayName="Subject (Keywords)" ma:internalName="Subject_x0020__x0028_Keywords_x0029_" ma:readOnly="false">
      <xsd:simpleType>
        <xsd:restriction base="dms:Text">
          <xsd:maxLength value="255"/>
        </xsd:restriction>
      </xsd:simpleType>
    </xsd:element>
    <xsd:element name="UNDescription" ma:index="13" nillable="true" ma:displayName="Document Description" ma:internalName="UNDescription" ma:readOnly="false">
      <xsd:simpleType>
        <xsd:restriction base="dms:Note">
          <xsd:maxLength value="255"/>
        </xsd:restriction>
      </xsd:simpleType>
    </xsd:element>
    <xsd:element name="oc66d84e400e46a6b73f7e2de66cfc35" ma:index="18" nillable="true" ma:displayName="Mission_0" ma:hidden="true" ma:internalName="oc66d84e400e46a6b73f7e2de66cfc35" ma:readOnly="false">
      <xsd:simpleType>
        <xsd:restriction base="dms:Note"/>
      </xsd:simpleType>
    </xsd:element>
    <xsd:element name="ma44ce4a84c147b39c9941cdd32d2a94" ma:index="22" nillable="true" ma:displayName="Security Classification_0" ma:hidden="true" ma:internalName="ma44ce4a84c147b39c9941cdd32d2a94" ma:readOnly="false">
      <xsd:simpleType>
        <xsd:restriction base="dms:Note"/>
      </xsd:simpleType>
    </xsd:element>
    <xsd:element name="k680fbc910ec42afab63a021fe6bcb72" ma:index="25" nillable="true" ma:displayName="UNLanguage_0" ma:hidden="true" ma:internalName="k680fbc910ec42afab63a021fe6bcb72" ma:readOnly="false">
      <xsd:simpleType>
        <xsd:restriction base="dms:Note"/>
      </xsd:simpleType>
    </xsd:element>
    <xsd:element name="fc8f36bf655c465fbd2a8002c91a011b" ma:index="26" nillable="true" ma:displayName="Document Type_0" ma:hidden="true" ma:internalName="fc8f36bf655c465fbd2a8002c91a011b" ma:readOnly="false">
      <xsd:simpleType>
        <xsd:restriction base="dms:Note"/>
      </xsd:simple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ec44e-1bab-4c0b-9df0-6ba128686fc9" elementFormDefault="qualified">
    <xsd:import namespace="http://schemas.microsoft.com/office/2006/documentManagement/types"/>
    <xsd:import namespace="http://schemas.microsoft.com/office/infopath/2007/PartnerControls"/>
    <xsd:element name="Document_x0020_Type" ma:index="4" nillable="true" ma:displayName="Document Type" ma:default="UN others" ma:format="Dropdown" ma:internalName="Document_x0020_Type" ma:readOnly="false">
      <xsd:simpleType>
        <xsd:restriction base="dms:Choice">
          <xsd:enumeration value="Code Cable"/>
          <xsd:enumeration value="Facsimile"/>
          <xsd:enumeration value="Form"/>
          <xsd:enumeration value="Letter"/>
          <xsd:enumeration value="Memorandum"/>
          <xsd:enumeration value="Note"/>
          <xsd:enumeration value="Note verbale"/>
          <xsd:enumeration value="Report"/>
          <xsd:enumeration value="Slip"/>
          <xsd:enumeration value="UN others"/>
          <xsd:enumeration value="Non-UN"/>
        </xsd:restriction>
      </xsd:simpleType>
    </xsd:element>
    <xsd:element name="gba66df640194346a5267c50f24d4797" ma:index="19" nillable="true" ma:taxonomy="true" ma:internalName="gba66df640194346a5267c50f24d4797" ma:taxonomyFieldName="Office_x0020_of_x0020_Origin" ma:displayName="Office of origin" ma:readOnly="false" ma:default="" ma:fieldId="{0ba66df6-4019-4346-a526-7c50f24d4797}" ma:sspId="78175662-8596-484a-92c7-351d01561e22" ma:termSetId="045c6cc4-dc5e-443b-8b37-1361f130ed2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0" nillable="true" ma:displayName="Taxonomy Catch All Column" ma:hidden="true" ma:list="{b56d25a6-7fc6-4587-9f20-584bd6661cbc}" ma:internalName="TaxCatchAll" ma:readOnly="false" ma:showField="CatchAllData" ma:web="29e0167d-fd43-45a0-9315-287f002da3d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1" nillable="true" ma:displayName="Taxonomy Catch All Column1" ma:hidden="true" ma:list="{b56d25a6-7fc6-4587-9f20-584bd6661cbc}" ma:internalName="TaxCatchAllLabel" ma:readOnly="true" ma:showField="CatchAllDataLabel" ma:web="29e0167d-fd43-45a0-9315-287f002da3d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813d3-517f-4512-8b08-898aab3d0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3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3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34" nillable="true" ma:displayName="Tags" ma:internalName="MediaServiceAutoTags" ma:readOnly="true">
      <xsd:simpleType>
        <xsd:restriction base="dms:Text"/>
      </xsd:simpleType>
    </xsd:element>
    <xsd:element name="MediaServiceLocation" ma:index="35" nillable="true" ma:displayName="Location" ma:internalName="MediaServiceLocation" ma:readOnly="true">
      <xsd:simpleType>
        <xsd:restriction base="dms:Text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40" nillable="true" ma:taxonomy="true" ma:internalName="lcf76f155ced4ddcb4097134ff3c332f" ma:taxonomyFieldName="MediaServiceImageTags" ma:displayName="Image Tags" ma:readOnly="false" ma:fieldId="{5cf76f15-5ced-4ddc-b409-7134ff3c332f}" ma:taxonomyMulti="true" ma:sspId="78175662-8596-484a-92c7-351d01561e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0032_1" ma:index="41" nillable="true" ma:displayName="21" ma:format="Dropdown" ma:internalName="_x0032_1">
      <xsd:simpleType>
        <xsd:restriction base="dms:Text">
          <xsd:maxLength value="255"/>
        </xsd:restriction>
      </xsd:simpleType>
    </xsd:element>
    <xsd:element name="MediaServiceObjectDetectorVersions" ma:index="4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4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4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45" nillable="true" ma:displayName="Sign-off status" ma:internalName="_x0024_Resources_x003a_core_x002c_Signoff_Status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axOccurs="1" ma:index="2" ma:displayName="Author"/>
        <xsd:element ref="dcterms:created" minOccurs="0" maxOccurs="1"/>
        <xsd:element ref="dc:identifier" minOccurs="0" maxOccurs="1"/>
        <xsd:element name="contentType" minOccurs="0" maxOccurs="1" type="xsd:string" ma:index="17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nder xmlns="29e0167d-fd43-45a0-9315-287f002da3de" xsi:nil="true"/>
    <_x0032_1 xmlns="be0813d3-517f-4512-8b08-898aab3d06c2" xsi:nil="true"/>
    <k680fbc910ec42afab63a021fe6bcb72 xmlns="29e0167d-fd43-45a0-9315-287f002da3de" xsi:nil="true"/>
    <DocumentDate xmlns="29e0167d-fd43-45a0-9315-287f002da3de">2024-04-05T14:18:07+00:00</DocumentDate>
    <Subject_x0020__x0028_Keywords_x0029_ xmlns="29e0167d-fd43-45a0-9315-287f002da3de" xsi:nil="true"/>
    <RelatedDocument xmlns="29e0167d-fd43-45a0-9315-287f002da3de" xsi:nil="true"/>
    <oc66d84e400e46a6b73f7e2de66cfc35 xmlns="29e0167d-fd43-45a0-9315-287f002da3de" xsi:nil="true"/>
    <Through xmlns="29e0167d-fd43-45a0-9315-287f002da3de" xsi:nil="true"/>
    <gba66df640194346a5267c50f24d4797 xmlns="985ec44e-1bab-4c0b-9df0-6ba128686fc9">
      <Terms xmlns="http://schemas.microsoft.com/office/infopath/2007/PartnerControls"/>
    </gba66df640194346a5267c50f24d4797>
    <Document_x0020_Type xmlns="985ec44e-1bab-4c0b-9df0-6ba128686fc9">UN others</Document_x0020_Type>
    <Aggregation xmlns="29e0167d-fd43-45a0-9315-287f002da3de" xsi:nil="true"/>
    <TaxCatchAll xmlns="985ec44e-1bab-4c0b-9df0-6ba128686fc9" xsi:nil="true"/>
    <ma44ce4a84c147b39c9941cdd32d2a94 xmlns="29e0167d-fd43-45a0-9315-287f002da3de" xsi:nil="true"/>
    <ReceivedDate xmlns="29e0167d-fd43-45a0-9315-287f002da3de" xsi:nil="true"/>
    <fc8f36bf655c465fbd2a8002c91a011b xmlns="29e0167d-fd43-45a0-9315-287f002da3de" xsi:nil="true"/>
    <UNDescription xmlns="29e0167d-fd43-45a0-9315-287f002da3de" xsi:nil="true"/>
    <lcf76f155ced4ddcb4097134ff3c332f xmlns="be0813d3-517f-4512-8b08-898aab3d06c2">
      <Terms xmlns="http://schemas.microsoft.com/office/infopath/2007/PartnerControls"/>
    </lcf76f155ced4ddcb4097134ff3c332f>
    <Addressee xmlns="29e0167d-fd43-45a0-9315-287f002da3de" xsi:nil="true"/>
    <_Flow_SignoffStatus xmlns="be0813d3-517f-4512-8b08-898aab3d06c2" xsi:nil="true"/>
  </documentManagement>
</p:properties>
</file>

<file path=customXml/itemProps1.xml><?xml version="1.0" encoding="utf-8"?>
<ds:datastoreItem xmlns:ds="http://schemas.openxmlformats.org/officeDocument/2006/customXml" ds:itemID="{625557E1-586F-48D5-9603-E070EFDF67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29A0A8-3607-425B-9754-C450B117EC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e0167d-fd43-45a0-9315-287f002da3de"/>
    <ds:schemaRef ds:uri="985ec44e-1bab-4c0b-9df0-6ba128686fc9"/>
    <ds:schemaRef ds:uri="be0813d3-517f-4512-8b08-898aab3d06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F4015B-65FB-431D-B13B-1F7E09A2C90B}">
  <ds:schemaRefs>
    <ds:schemaRef ds:uri="http://purl.org/dc/terms/"/>
    <ds:schemaRef ds:uri="be0813d3-517f-4512-8b08-898aab3d06c2"/>
    <ds:schemaRef ds:uri="http://schemas.microsoft.com/office/2006/metadata/properties"/>
    <ds:schemaRef ds:uri="http://purl.org/dc/elements/1.1/"/>
    <ds:schemaRef ds:uri="http://schemas.microsoft.com/office/2006/documentManagement/types"/>
    <ds:schemaRef ds:uri="29e0167d-fd43-45a0-9315-287f002da3de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985ec44e-1bab-4c0b-9df0-6ba128686fc9"/>
  </ds:schemaRefs>
</ds:datastoreItem>
</file>

<file path=docMetadata/LabelInfo.xml><?xml version="1.0" encoding="utf-8"?>
<clbl:labelList xmlns:clbl="http://schemas.microsoft.com/office/2020/mipLabelMetadata">
  <clbl:label id="{8b77875e-5908-45a0-9cb4-dec9ae074618}" enabled="1" method="Privileged" siteId="{0f9e35db-544f-4f60-bdcc-5ea416e6dc7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DFS</vt:lpstr>
      <vt:lpstr>DFS!Criteria</vt:lpstr>
      <vt:lpstr>DFS!Print_Area</vt:lpstr>
      <vt:lpstr>DFS!Print_Titles</vt:lpstr>
    </vt:vector>
  </TitlesOfParts>
  <Company>United Nations, JUBA, MAOC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Shliakhov</dc:creator>
  <cp:lastModifiedBy>UNMISS Flight Following</cp:lastModifiedBy>
  <cp:lastPrinted>2025-10-13T15:16:09Z</cp:lastPrinted>
  <dcterms:created xsi:type="dcterms:W3CDTF">2006-07-20T07:23:06Z</dcterms:created>
  <dcterms:modified xsi:type="dcterms:W3CDTF">2025-10-14T15:14:07Z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0x01010031965CA219EB9642ADF8B7E9195ED4F1002322A19E9A41BF4185F71A94AAAD1570</vt:lpwstr>
  </property>
  <property fmtid="{D5CDD505-2E9C-101B-9397-08002B2CF9AE}" pid="3" name="Office of Origin">
    <vt:lpwstr/>
  </property>
  <property fmtid="{D5CDD505-2E9C-101B-9397-08002B2CF9AE}" pid="4" name="MediaServiceImageTags">
    <vt:lpwstr/>
  </property>
  <property fmtid="{D5CDD505-2E9C-101B-9397-08002B2CF9AE}" pid="5" name="Office_x0020_of_x0020_Origin">
    <vt:lpwstr/>
  </property>
</Properties>
</file>